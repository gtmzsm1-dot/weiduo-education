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2"/>
  </bookViews>
  <sheets>
    <sheet name="使用说明" sheetId="1" r:id="rId1"/>
    <sheet name="①学员信息" sheetId="2" r:id="rId2"/>
    <sheet name="②月度测试记录" sheetId="3" r:id="rId3"/>
    <sheet name="③月度上课记录" sheetId="4" r:id="rId4"/>
    <sheet name="④月度汇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<sst xmlns="http://schemas.openxmlformats.org/spreadsheetml/2006/main" count="1335" uniqueCount="135">
  <si>
    <t>维多教育 · 学员成长档案系统 — 月度数据采集模板 使用说明</t>
  </si>
  <si>
    <t>教务部门每月第1～3个工作日完成填写，发给档案管理员导入系统</t>
  </si>
  <si>
    <t>工作表</t>
  </si>
  <si>
    <t>用途</t>
  </si>
  <si>
    <t>填写人 / 时间节点</t>
  </si>
  <si>
    <t>①学员信息</t>
  </si>
  <si>
    <t>新增学员建档 / 更新在读学员基本信息（年级、现分、目标分等）</t>
  </si>
  <si>
    <t>教务主任，每月1日前</t>
  </si>
  <si>
    <t>②月度测试记录</t>
  </si>
  <si>
    <t>录入本月各知识模块测试成绩（对应 AI提分工坊→小测+答题）</t>
  </si>
  <si>
    <t>带课老师，每月3日前</t>
  </si>
  <si>
    <t>③月度上课记录</t>
  </si>
  <si>
    <t>记录授课课次、作业完成情况、家长反馈摘要</t>
  </si>
  <si>
    <t>④月度汇总</t>
  </si>
  <si>
    <t>自动汇总①②③，供校长月度复盘用，无需手动填写</t>
  </si>
  <si>
    <t>系统自动（公式）</t>
  </si>
  <si>
    <t>使用说明</t>
  </si>
  <si>
    <t>本页，阅读后无需改动</t>
  </si>
  <si>
    <t>—</t>
  </si>
  <si>
    <t>⚠ 填写规范 &amp; 常见问题</t>
  </si>
  <si>
    <t xml:space="preserve">  • 学员姓名必须与系统中已建档的姓名完全一致（注意空格）</t>
  </si>
  <si>
    <t xml:space="preserve">  • 年级下拉选项：高一 / 高二 / 高三 / 初一 / 初二 / 初三</t>
  </si>
  <si>
    <t xml:space="preserve">  • 层次下拉选项：基础巩固型 / 中等提升型 / 高分冲刺型</t>
  </si>
  <si>
    <t xml:space="preserve">  • 测试模块：集合 / 函数 / 导数 / 三角函数 / 数列 / 向量 / 解析几何 / 立体几何 / 概率统计 / 其他</t>
  </si>
  <si>
    <t xml:space="preserve">  • 成绩单元格只填数字，不填分字</t>
  </si>
  <si>
    <t xml:space="preserve">  • 如学员本月未参加测试，测试记录表该行留空（不要填0分）</t>
  </si>
  <si>
    <t xml:space="preserve">  • 黄色底色 = 必填项；灰色底色 = 公式自动计算，请勿修改</t>
  </si>
  <si>
    <t>① 学员信息采集表</t>
  </si>
  <si>
    <t>▶ 每月1日前，教务主任填写本月新增学员 或 更新在读学员信息</t>
  </si>
  <si>
    <t>★ "操作类型" 列：新学员填"新增"，已有学员信息变更填"更新"，本月无变化不用填</t>
  </si>
  <si>
    <t>序号</t>
  </si>
  <si>
    <t>操作类型</t>
  </si>
  <si>
    <t>学员姓名</t>
  </si>
  <si>
    <t>年级</t>
  </si>
  <si>
    <t>现分（数学）</t>
  </si>
  <si>
    <t>目标分（数学）</t>
  </si>
  <si>
    <t>层次</t>
  </si>
  <si>
    <t>家长手机</t>
  </si>
  <si>
    <t>紧急联系人</t>
  </si>
  <si>
    <t>备注</t>
  </si>
  <si>
    <t>新增</t>
  </si>
  <si>
    <t>张三丰</t>
  </si>
  <si>
    <t>高三</t>
  </si>
  <si>
    <t>中等提升型</t>
  </si>
  <si>
    <t>13900000001</t>
  </si>
  <si>
    <t>张父</t>
  </si>
  <si>
    <t>理科班</t>
  </si>
  <si>
    <t>李四维</t>
  </si>
  <si>
    <t>高二</t>
  </si>
  <si>
    <t>基础巩固型</t>
  </si>
  <si>
    <t>13900000002</t>
  </si>
  <si>
    <t>李母</t>
  </si>
  <si>
    <t/>
  </si>
  <si>
    <t>更新</t>
  </si>
  <si>
    <t>王五</t>
  </si>
  <si>
    <t>高分冲刺型</t>
  </si>
  <si>
    <t>13900000003</t>
  </si>
  <si>
    <t>王父</t>
  </si>
  <si>
    <t>成绩更新</t>
  </si>
  <si>
    <t>② 月度测试记录采集表</t>
  </si>
  <si>
    <t>▶ 每月3日前，带课老师填写本月各学员知识模块小测成绩</t>
  </si>
  <si>
    <t xml:space="preserve">  得分率 = 得分/满分，公式自动计算。批改状态：已批改 / 未批改</t>
  </si>
  <si>
    <t>测试日期</t>
  </si>
  <si>
    <t>带课老师</t>
  </si>
  <si>
    <t>知识模块</t>
  </si>
  <si>
    <t>题量</t>
  </si>
  <si>
    <t>满分</t>
  </si>
  <si>
    <t>得分</t>
  </si>
  <si>
    <t>得分率</t>
  </si>
  <si>
    <t>是否批改</t>
  </si>
  <si>
    <t>备注/薄弱知识点</t>
  </si>
  <si>
    <t>2026-05-05</t>
  </si>
  <si>
    <t>陈老师</t>
  </si>
  <si>
    <t>导数与单调性</t>
  </si>
  <si>
    <t>已批改</t>
  </si>
  <si>
    <t>极值点判断需加强</t>
  </si>
  <si>
    <t>2026-05-06</t>
  </si>
  <si>
    <t>函数综合</t>
  </si>
  <si>
    <t>复合函数处理方法薄弱</t>
  </si>
  <si>
    <t>2026-05-08</t>
  </si>
  <si>
    <t>解析几何</t>
  </si>
  <si>
    <t>③ 月度上课记录采集表</t>
  </si>
  <si>
    <t>▶ 每月3日前，带课老师填写上月授课情况及家长反馈</t>
  </si>
  <si>
    <t xml:space="preserve">  课次时长单位：分钟。作业完成：按时完成/延迟完成/未完成。家长态度：积极/中立/待跟进/无沟通</t>
  </si>
  <si>
    <t>授课日期</t>
  </si>
  <si>
    <t>课次时长(分)</t>
  </si>
  <si>
    <t>本次主题</t>
  </si>
  <si>
    <t>作业完成情况</t>
  </si>
  <si>
    <t>家长沟通态度</t>
  </si>
  <si>
    <t>下次重点</t>
  </si>
  <si>
    <t>本次课程摘要/家长反馈</t>
  </si>
  <si>
    <t>导数综合应用</t>
  </si>
  <si>
    <t>按时完成</t>
  </si>
  <si>
    <t>积极</t>
  </si>
  <si>
    <t>极值与最值</t>
  </si>
  <si>
    <t>家长反馈：孩子课后专注度提升</t>
  </si>
  <si>
    <t>函数奇偶性</t>
  </si>
  <si>
    <t>延迟完成</t>
  </si>
  <si>
    <t>中立</t>
  </si>
  <si>
    <t>复合函数</t>
  </si>
  <si>
    <t>建议家长督促每日30分钟复习</t>
  </si>
  <si>
    <t>椭圆标准方程</t>
  </si>
  <si>
    <t>焦点三角形</t>
  </si>
  <si>
    <t>④ 月度汇总（公式自动计算）</t>
  </si>
  <si>
    <t>▶ 本表由公式自动统计，供校长月度复盘。灰色单元格请勿手动修改。</t>
  </si>
  <si>
    <t>【学员信息统计】</t>
  </si>
  <si>
    <t>本月新增学员数</t>
  </si>
  <si>
    <t>本月更新信息学员数</t>
  </si>
  <si>
    <t>填报学员总数</t>
  </si>
  <si>
    <t>【测试成绩统计】</t>
  </si>
  <si>
    <t>本月总测试场次</t>
  </si>
  <si>
    <t>总得分（所有学员）</t>
  </si>
  <si>
    <t>总满分（所有学员）</t>
  </si>
  <si>
    <t>本月整体平均得分率</t>
  </si>
  <si>
    <t>得分率最高学员</t>
  </si>
  <si>
    <t>得分率最低学员</t>
  </si>
  <si>
    <t>【上课情况统计】</t>
  </si>
  <si>
    <t>本月总课次</t>
  </si>
  <si>
    <t>总授课时长（分钟）</t>
  </si>
  <si>
    <t>作业按时完成次数</t>
  </si>
  <si>
    <t>作业延迟/未完成次数</t>
  </si>
  <si>
    <t>家长待跟进次数</t>
  </si>
  <si>
    <t>【各模块测试频次与平均得分率（本月）】</t>
  </si>
  <si>
    <t>本月测试次数</t>
  </si>
  <si>
    <t>平均得分率</t>
  </si>
  <si>
    <t>集合</t>
  </si>
  <si>
    <t>函数</t>
  </si>
  <si>
    <t>导数</t>
  </si>
  <si>
    <t>三角函数</t>
  </si>
  <si>
    <t>数列</t>
  </si>
  <si>
    <t>向量</t>
  </si>
  <si>
    <t>立体几何</t>
  </si>
  <si>
    <t>概率统计</t>
  </si>
  <si>
    <t>其他</t>
  </si>
  <si>
    <t>模板版本：2026-05 V1 | 维多教育 · 学员成长档案系统 | 如有问题联系系统管理员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</si>
</sst>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5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i/>
      <sz val="10"/>
      <color rgb="FF1B2A6B"/>
      <name val="Arial"/>
      <charset val="134"/>
    </font>
    <font>
      <b/>
      <sz val="11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1B5E20"/>
      <name val="Arial"/>
      <charset val="134"/>
    </font>
    <font>
      <b/>
      <sz val="11"/>
      <color rgb="FF1B2A6B"/>
      <name val="Arial"/>
      <charset val="134"/>
    </font>
    <font>
      <i/>
      <sz val="8"/>
      <color rgb="FFAAAAAA"/>
      <name val="Arial"/>
      <charset val="134"/>
    </font>
    <font>
      <sz val="9"/>
      <color rgb="FF555555"/>
      <name val="Arial"/>
      <charset val="134"/>
    </font>
    <font>
      <sz val="10"/>
      <color rgb="FF000000"/>
      <name val="Arial"/>
      <charset val="134"/>
    </font>
    <font>
      <sz val="10"/>
      <color rgb="FF888888"/>
      <name val="Arial"/>
      <charset val="134"/>
    </font>
    <font>
      <b/>
      <sz val="10"/>
      <color rgb="FF1B2A6B"/>
      <name val="Arial"/>
      <charset val="134"/>
    </font>
    <font>
      <sz val="10"/>
      <color rgb="FF555555"/>
      <name val="Arial"/>
      <charset val="134"/>
    </font>
    <font>
      <b/>
      <sz val="11"/>
      <color rgb="FFC0392B"/>
      <name val="Arial"/>
      <charset val="134"/>
    </font>
    <font>
      <sz val="10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B2A6B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8A9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F0E0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1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8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8"/>
  <sheetViews>
    <sheetView showGridLines="0" workbookViewId="0">
      <selection activeCell="A1" sqref="A1"/>
    </sheetView>
  </sheetViews>
  <sheetFormatPr defaultColWidth="9" defaultRowHeight="16.8" outlineLevelCol="3"/>
  <cols>
    <col min="1" max="1" width="4" customWidth="1"/>
    <col min="2" max="2" width="22" customWidth="1"/>
    <col min="3" max="3" width="52" customWidth="1"/>
    <col min="4" max="4" width="22" customWidth="1"/>
  </cols>
  <sheetData>
    <row r="1" ht="36" customHeight="1" spans="2:4">
      <c r="B1" s="1" t="s">
        <v>0</v>
      </c>
    </row>
    <row r="2" ht="20" customHeight="1" spans="2:4">
      <c r="B2" s="17" t="s">
        <v>1</v>
      </c>
    </row>
    <row r="4" ht="22" customHeight="1" spans="2:4">
      <c r="B4" s="9" t="s">
        <v>2</v>
      </c>
      <c r="C4" s="9" t="s">
        <v>3</v>
      </c>
      <c r="D4" s="9" t="s">
        <v>4</v>
      </c>
    </row>
    <row r="5" ht="22" customHeight="1" spans="2:4">
      <c r="B5" s="18" t="s">
        <v>5</v>
      </c>
      <c r="C5" s="13" t="s">
        <v>6</v>
      </c>
      <c r="D5" s="19" t="s">
        <v>7</v>
      </c>
    </row>
    <row r="6" ht="22" customHeight="1" spans="2:4">
      <c r="B6" s="20" t="s">
        <v>8</v>
      </c>
      <c r="C6" s="14" t="s">
        <v>9</v>
      </c>
      <c r="D6" s="21" t="s">
        <v>10</v>
      </c>
    </row>
    <row r="7" ht="22" customHeight="1" spans="2:4">
      <c r="B7" s="18" t="s">
        <v>11</v>
      </c>
      <c r="C7" s="13" t="s">
        <v>12</v>
      </c>
      <c r="D7" s="19" t="s">
        <v>10</v>
      </c>
    </row>
    <row r="8" ht="22" customHeight="1" spans="2:4">
      <c r="B8" s="20" t="s">
        <v>13</v>
      </c>
      <c r="C8" s="14" t="s">
        <v>14</v>
      </c>
      <c r="D8" s="21" t="s">
        <v>15</v>
      </c>
    </row>
    <row r="9" ht="22" customHeight="1" spans="2:4">
      <c r="B9" s="18" t="s">
        <v>16</v>
      </c>
      <c r="C9" s="13" t="s">
        <v>17</v>
      </c>
      <c r="D9" s="19" t="s">
        <v>18</v>
      </c>
    </row>
    <row r="11" ht="22" customHeight="1" spans="2:4">
      <c r="B11" s="22" t="s">
        <v>19</v>
      </c>
    </row>
    <row r="12" ht="18" customHeight="1" spans="2:4">
      <c r="B12" s="23" t="s">
        <v>20</v>
      </c>
    </row>
    <row r="13" ht="18" customHeight="1" spans="2:4">
      <c r="B13" s="23" t="s">
        <v>21</v>
      </c>
    </row>
    <row r="14" ht="18" customHeight="1" spans="2:4">
      <c r="B14" s="23" t="s">
        <v>22</v>
      </c>
    </row>
    <row r="15" ht="18" customHeight="1" spans="2:4">
      <c r="B15" s="23" t="s">
        <v>23</v>
      </c>
    </row>
    <row r="16" ht="18" customHeight="1" spans="2:4">
      <c r="B16" s="23" t="s">
        <v>24</v>
      </c>
    </row>
    <row r="17" ht="18" customHeight="1" spans="2:2">
      <c r="B17" s="23" t="s">
        <v>25</v>
      </c>
    </row>
    <row r="18" ht="18" customHeight="1" spans="2:2">
      <c r="B18" s="23" t="s">
        <v>26</v>
      </c>
    </row>
  </sheetData>
  <mergeCells count="10">
    <mergeCell ref="B1:D1"/>
    <mergeCell ref="B2:D2"/>
    <mergeCell ref="B11:D11"/>
    <mergeCell ref="B12:D12"/>
    <mergeCell ref="B13:D13"/>
    <mergeCell ref="B14:D14"/>
    <mergeCell ref="B15:D15"/>
    <mergeCell ref="B16:D16"/>
    <mergeCell ref="B17:D17"/>
    <mergeCell ref="B18:D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7"/>
  <sheetViews>
    <sheetView showGridLines="0" workbookViewId="0">
      <selection activeCell="M9" sqref="M9"/>
    </sheetView>
  </sheetViews>
  <sheetFormatPr defaultColWidth="9" defaultRowHeight="16.8"/>
  <cols>
    <col min="1" max="1" width="4" customWidth="1"/>
    <col min="2" max="2" width="6" customWidth="1"/>
    <col min="3" max="3" width="14" customWidth="1"/>
    <col min="4" max="4" width="8" customWidth="1"/>
    <col min="5" max="7" width="10" customWidth="1"/>
    <col min="8" max="9" width="16" customWidth="1"/>
    <col min="10" max="10" width="22" customWidth="1"/>
  </cols>
  <sheetData>
    <row r="1" ht="36" customHeight="1" spans="2:11">
      <c r="B1" s="1" t="s">
        <v>27</v>
      </c>
    </row>
    <row r="2" ht="20" customHeight="1" spans="2:11">
      <c r="B2" s="2" t="s">
        <v>28</v>
      </c>
    </row>
    <row r="3" ht="22" customHeight="1" spans="2:11">
      <c r="B3" s="12" t="s">
        <v>29</v>
      </c>
    </row>
    <row r="4" ht="22" customHeight="1" spans="2:11"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</row>
    <row r="5" ht="20" customHeight="1" spans="2:11">
      <c r="B5" s="13">
        <v>1</v>
      </c>
      <c r="C5" s="13" t="s">
        <v>40</v>
      </c>
      <c r="D5" s="13" t="s">
        <v>41</v>
      </c>
      <c r="E5" s="13" t="s">
        <v>42</v>
      </c>
      <c r="F5" s="13">
        <v>88</v>
      </c>
      <c r="G5" s="13">
        <v>115</v>
      </c>
      <c r="H5" s="13" t="s">
        <v>43</v>
      </c>
      <c r="I5" s="13" t="s">
        <v>44</v>
      </c>
      <c r="J5" s="13" t="s">
        <v>45</v>
      </c>
      <c r="K5" s="13" t="s">
        <v>46</v>
      </c>
    </row>
    <row r="6" ht="20" customHeight="1" spans="2:11">
      <c r="B6" s="14">
        <v>2</v>
      </c>
      <c r="C6" s="14" t="s">
        <v>40</v>
      </c>
      <c r="D6" s="14" t="s">
        <v>47</v>
      </c>
      <c r="E6" s="14" t="s">
        <v>48</v>
      </c>
      <c r="F6" s="14">
        <v>72</v>
      </c>
      <c r="G6" s="14">
        <v>100</v>
      </c>
      <c r="H6" s="14" t="s">
        <v>49</v>
      </c>
      <c r="I6" s="14" t="s">
        <v>50</v>
      </c>
      <c r="J6" s="14" t="s">
        <v>51</v>
      </c>
      <c r="K6" s="14" t="s">
        <v>52</v>
      </c>
    </row>
    <row r="7" ht="20" customHeight="1" spans="2:11">
      <c r="B7" s="13">
        <v>3</v>
      </c>
      <c r="C7" s="13" t="s">
        <v>53</v>
      </c>
      <c r="D7" s="13" t="s">
        <v>54</v>
      </c>
      <c r="E7" s="13" t="s">
        <v>42</v>
      </c>
      <c r="F7" s="13">
        <v>95</v>
      </c>
      <c r="G7" s="13">
        <v>120</v>
      </c>
      <c r="H7" s="13" t="s">
        <v>55</v>
      </c>
      <c r="I7" s="13" t="s">
        <v>56</v>
      </c>
      <c r="J7" s="13" t="s">
        <v>57</v>
      </c>
      <c r="K7" s="13" t="s">
        <v>58</v>
      </c>
    </row>
    <row r="8" ht="20" customHeight="1" spans="2:11">
      <c r="B8" s="15">
        <v>4</v>
      </c>
      <c r="C8" s="16" t="s">
        <v>52</v>
      </c>
      <c r="D8" s="16" t="s">
        <v>52</v>
      </c>
      <c r="E8" s="16" t="s">
        <v>52</v>
      </c>
      <c r="F8" s="16" t="s">
        <v>52</v>
      </c>
      <c r="G8" s="16" t="s">
        <v>52</v>
      </c>
      <c r="H8" s="14" t="s">
        <v>52</v>
      </c>
      <c r="I8" s="14" t="s">
        <v>52</v>
      </c>
      <c r="J8" s="14" t="s">
        <v>52</v>
      </c>
      <c r="K8" s="14" t="s">
        <v>52</v>
      </c>
    </row>
    <row r="9" ht="20" customHeight="1" spans="2:11">
      <c r="B9" s="15">
        <v>5</v>
      </c>
      <c r="C9" s="16" t="s">
        <v>52</v>
      </c>
      <c r="D9" s="16" t="s">
        <v>52</v>
      </c>
      <c r="E9" s="16" t="s">
        <v>52</v>
      </c>
      <c r="F9" s="16" t="s">
        <v>52</v>
      </c>
      <c r="G9" s="16" t="s">
        <v>52</v>
      </c>
      <c r="H9" s="13" t="s">
        <v>52</v>
      </c>
      <c r="I9" s="13" t="s">
        <v>52</v>
      </c>
      <c r="J9" s="13" t="s">
        <v>52</v>
      </c>
      <c r="K9" s="13" t="s">
        <v>52</v>
      </c>
    </row>
    <row r="10" ht="20" customHeight="1" spans="2:11">
      <c r="B10" s="15">
        <v>6</v>
      </c>
      <c r="C10" s="16" t="s">
        <v>52</v>
      </c>
      <c r="D10" s="16" t="s">
        <v>52</v>
      </c>
      <c r="E10" s="16" t="s">
        <v>52</v>
      </c>
      <c r="F10" s="16" t="s">
        <v>52</v>
      </c>
      <c r="G10" s="16" t="s">
        <v>52</v>
      </c>
      <c r="H10" s="14" t="s">
        <v>52</v>
      </c>
      <c r="I10" s="14" t="s">
        <v>52</v>
      </c>
      <c r="J10" s="14" t="s">
        <v>52</v>
      </c>
      <c r="K10" s="14" t="s">
        <v>52</v>
      </c>
    </row>
    <row r="11" ht="20" customHeight="1" spans="2:11">
      <c r="B11" s="15">
        <v>7</v>
      </c>
      <c r="C11" s="16" t="s">
        <v>52</v>
      </c>
      <c r="D11" s="16" t="s">
        <v>52</v>
      </c>
      <c r="E11" s="16" t="s">
        <v>52</v>
      </c>
      <c r="F11" s="16" t="s">
        <v>52</v>
      </c>
      <c r="G11" s="16" t="s">
        <v>52</v>
      </c>
      <c r="H11" s="13" t="s">
        <v>52</v>
      </c>
      <c r="I11" s="13" t="s">
        <v>52</v>
      </c>
      <c r="J11" s="13" t="s">
        <v>52</v>
      </c>
      <c r="K11" s="13" t="s">
        <v>52</v>
      </c>
    </row>
    <row r="12" ht="20" customHeight="1" spans="2:11">
      <c r="B12" s="15">
        <v>8</v>
      </c>
      <c r="C12" s="16" t="s">
        <v>52</v>
      </c>
      <c r="D12" s="16" t="s">
        <v>52</v>
      </c>
      <c r="E12" s="16" t="s">
        <v>52</v>
      </c>
      <c r="F12" s="16" t="s">
        <v>52</v>
      </c>
      <c r="G12" s="16" t="s">
        <v>52</v>
      </c>
      <c r="H12" s="14" t="s">
        <v>52</v>
      </c>
      <c r="I12" s="14" t="s">
        <v>52</v>
      </c>
      <c r="J12" s="14" t="s">
        <v>52</v>
      </c>
      <c r="K12" s="14" t="s">
        <v>52</v>
      </c>
    </row>
    <row r="13" ht="20" customHeight="1" spans="2:11">
      <c r="B13" s="15">
        <v>9</v>
      </c>
      <c r="C13" s="16" t="s">
        <v>52</v>
      </c>
      <c r="D13" s="16" t="s">
        <v>52</v>
      </c>
      <c r="E13" s="16" t="s">
        <v>52</v>
      </c>
      <c r="F13" s="16" t="s">
        <v>52</v>
      </c>
      <c r="G13" s="16" t="s">
        <v>52</v>
      </c>
      <c r="H13" s="13" t="s">
        <v>52</v>
      </c>
      <c r="I13" s="13" t="s">
        <v>52</v>
      </c>
      <c r="J13" s="13" t="s">
        <v>52</v>
      </c>
      <c r="K13" s="13" t="s">
        <v>52</v>
      </c>
    </row>
    <row r="14" ht="20" customHeight="1" spans="2:11">
      <c r="B14" s="15">
        <v>10</v>
      </c>
      <c r="C14" s="16" t="s">
        <v>52</v>
      </c>
      <c r="D14" s="16" t="s">
        <v>52</v>
      </c>
      <c r="E14" s="16" t="s">
        <v>52</v>
      </c>
      <c r="F14" s="16" t="s">
        <v>52</v>
      </c>
      <c r="G14" s="16" t="s">
        <v>52</v>
      </c>
      <c r="H14" s="14" t="s">
        <v>52</v>
      </c>
      <c r="I14" s="14" t="s">
        <v>52</v>
      </c>
      <c r="J14" s="14" t="s">
        <v>52</v>
      </c>
      <c r="K14" s="14" t="s">
        <v>52</v>
      </c>
    </row>
    <row r="15" ht="20" customHeight="1" spans="2:11">
      <c r="B15" s="15">
        <v>11</v>
      </c>
      <c r="C15" s="16" t="s">
        <v>52</v>
      </c>
      <c r="D15" s="16" t="s">
        <v>52</v>
      </c>
      <c r="E15" s="16" t="s">
        <v>52</v>
      </c>
      <c r="F15" s="16" t="s">
        <v>52</v>
      </c>
      <c r="G15" s="16" t="s">
        <v>52</v>
      </c>
      <c r="H15" s="13" t="s">
        <v>52</v>
      </c>
      <c r="I15" s="13" t="s">
        <v>52</v>
      </c>
      <c r="J15" s="13" t="s">
        <v>52</v>
      </c>
      <c r="K15" s="13" t="s">
        <v>52</v>
      </c>
    </row>
    <row r="16" ht="20" customHeight="1" spans="2:11">
      <c r="B16" s="15">
        <v>12</v>
      </c>
      <c r="C16" s="16" t="s">
        <v>52</v>
      </c>
      <c r="D16" s="16" t="s">
        <v>52</v>
      </c>
      <c r="E16" s="16" t="s">
        <v>52</v>
      </c>
      <c r="F16" s="16" t="s">
        <v>52</v>
      </c>
      <c r="G16" s="16" t="s">
        <v>52</v>
      </c>
      <c r="H16" s="14" t="s">
        <v>52</v>
      </c>
      <c r="I16" s="14" t="s">
        <v>52</v>
      </c>
      <c r="J16" s="14" t="s">
        <v>52</v>
      </c>
      <c r="K16" s="14" t="s">
        <v>52</v>
      </c>
    </row>
    <row r="17" ht="20" customHeight="1" spans="2:11">
      <c r="B17" s="15">
        <v>13</v>
      </c>
      <c r="C17" s="16" t="s">
        <v>52</v>
      </c>
      <c r="D17" s="16" t="s">
        <v>52</v>
      </c>
      <c r="E17" s="16" t="s">
        <v>52</v>
      </c>
      <c r="F17" s="16" t="s">
        <v>52</v>
      </c>
      <c r="G17" s="16" t="s">
        <v>52</v>
      </c>
      <c r="H17" s="13" t="s">
        <v>52</v>
      </c>
      <c r="I17" s="13" t="s">
        <v>52</v>
      </c>
      <c r="J17" s="13" t="s">
        <v>52</v>
      </c>
      <c r="K17" s="13" t="s">
        <v>52</v>
      </c>
    </row>
    <row r="18" ht="20" customHeight="1" spans="2:11">
      <c r="B18" s="15">
        <v>14</v>
      </c>
      <c r="C18" s="16" t="s">
        <v>52</v>
      </c>
      <c r="D18" s="16" t="s">
        <v>52</v>
      </c>
      <c r="E18" s="16" t="s">
        <v>52</v>
      </c>
      <c r="F18" s="16" t="s">
        <v>52</v>
      </c>
      <c r="G18" s="16" t="s">
        <v>52</v>
      </c>
      <c r="H18" s="14" t="s">
        <v>52</v>
      </c>
      <c r="I18" s="14" t="s">
        <v>52</v>
      </c>
      <c r="J18" s="14" t="s">
        <v>52</v>
      </c>
      <c r="K18" s="14" t="s">
        <v>52</v>
      </c>
    </row>
    <row r="19" ht="20" customHeight="1" spans="2:11">
      <c r="B19" s="15">
        <v>15</v>
      </c>
      <c r="C19" s="16" t="s">
        <v>52</v>
      </c>
      <c r="D19" s="16" t="s">
        <v>52</v>
      </c>
      <c r="E19" s="16" t="s">
        <v>52</v>
      </c>
      <c r="F19" s="16" t="s">
        <v>52</v>
      </c>
      <c r="G19" s="16" t="s">
        <v>52</v>
      </c>
      <c r="H19" s="13" t="s">
        <v>52</v>
      </c>
      <c r="I19" s="13" t="s">
        <v>52</v>
      </c>
      <c r="J19" s="13" t="s">
        <v>52</v>
      </c>
      <c r="K19" s="13" t="s">
        <v>52</v>
      </c>
    </row>
    <row r="20" ht="20" customHeight="1" spans="2:11">
      <c r="B20" s="15">
        <v>16</v>
      </c>
      <c r="C20" s="16" t="s">
        <v>52</v>
      </c>
      <c r="D20" s="16" t="s">
        <v>52</v>
      </c>
      <c r="E20" s="16" t="s">
        <v>52</v>
      </c>
      <c r="F20" s="16" t="s">
        <v>52</v>
      </c>
      <c r="G20" s="16" t="s">
        <v>52</v>
      </c>
      <c r="H20" s="14" t="s">
        <v>52</v>
      </c>
      <c r="I20" s="14" t="s">
        <v>52</v>
      </c>
      <c r="J20" s="14" t="s">
        <v>52</v>
      </c>
      <c r="K20" s="14" t="s">
        <v>52</v>
      </c>
    </row>
    <row r="21" ht="20" customHeight="1" spans="2:11">
      <c r="B21" s="15">
        <v>17</v>
      </c>
      <c r="C21" s="16" t="s">
        <v>52</v>
      </c>
      <c r="D21" s="16" t="s">
        <v>52</v>
      </c>
      <c r="E21" s="16" t="s">
        <v>52</v>
      </c>
      <c r="F21" s="16" t="s">
        <v>52</v>
      </c>
      <c r="G21" s="16" t="s">
        <v>52</v>
      </c>
      <c r="H21" s="13" t="s">
        <v>52</v>
      </c>
      <c r="I21" s="13" t="s">
        <v>52</v>
      </c>
      <c r="J21" s="13" t="s">
        <v>52</v>
      </c>
      <c r="K21" s="13" t="s">
        <v>52</v>
      </c>
    </row>
    <row r="22" ht="20" customHeight="1" spans="2:11">
      <c r="B22" s="15">
        <v>18</v>
      </c>
      <c r="C22" s="16" t="s">
        <v>52</v>
      </c>
      <c r="D22" s="16" t="s">
        <v>52</v>
      </c>
      <c r="E22" s="16" t="s">
        <v>52</v>
      </c>
      <c r="F22" s="16" t="s">
        <v>52</v>
      </c>
      <c r="G22" s="16" t="s">
        <v>52</v>
      </c>
      <c r="H22" s="14" t="s">
        <v>52</v>
      </c>
      <c r="I22" s="14" t="s">
        <v>52</v>
      </c>
      <c r="J22" s="14" t="s">
        <v>52</v>
      </c>
      <c r="K22" s="14" t="s">
        <v>52</v>
      </c>
    </row>
    <row r="23" ht="20" customHeight="1" spans="2:11">
      <c r="B23" s="15">
        <v>19</v>
      </c>
      <c r="C23" s="16" t="s">
        <v>52</v>
      </c>
      <c r="D23" s="16" t="s">
        <v>52</v>
      </c>
      <c r="E23" s="16" t="s">
        <v>52</v>
      </c>
      <c r="F23" s="16" t="s">
        <v>52</v>
      </c>
      <c r="G23" s="16" t="s">
        <v>52</v>
      </c>
      <c r="H23" s="13" t="s">
        <v>52</v>
      </c>
      <c r="I23" s="13" t="s">
        <v>52</v>
      </c>
      <c r="J23" s="13" t="s">
        <v>52</v>
      </c>
      <c r="K23" s="13" t="s">
        <v>52</v>
      </c>
    </row>
    <row r="24" ht="20" customHeight="1" spans="2:11">
      <c r="B24" s="15">
        <v>20</v>
      </c>
      <c r="C24" s="16" t="s">
        <v>52</v>
      </c>
      <c r="D24" s="16" t="s">
        <v>52</v>
      </c>
      <c r="E24" s="16" t="s">
        <v>52</v>
      </c>
      <c r="F24" s="16" t="s">
        <v>52</v>
      </c>
      <c r="G24" s="16" t="s">
        <v>52</v>
      </c>
      <c r="H24" s="14" t="s">
        <v>52</v>
      </c>
      <c r="I24" s="14" t="s">
        <v>52</v>
      </c>
      <c r="J24" s="14" t="s">
        <v>52</v>
      </c>
      <c r="K24" s="14" t="s">
        <v>52</v>
      </c>
    </row>
    <row r="25" ht="20" customHeight="1" spans="2:11">
      <c r="B25" s="15">
        <v>21</v>
      </c>
      <c r="C25" s="16" t="s">
        <v>52</v>
      </c>
      <c r="D25" s="16" t="s">
        <v>52</v>
      </c>
      <c r="E25" s="16" t="s">
        <v>52</v>
      </c>
      <c r="F25" s="16" t="s">
        <v>52</v>
      </c>
      <c r="G25" s="16" t="s">
        <v>52</v>
      </c>
      <c r="H25" s="13" t="s">
        <v>52</v>
      </c>
      <c r="I25" s="13" t="s">
        <v>52</v>
      </c>
      <c r="J25" s="13" t="s">
        <v>52</v>
      </c>
      <c r="K25" s="13" t="s">
        <v>52</v>
      </c>
    </row>
    <row r="26" ht="20" customHeight="1" spans="2:11">
      <c r="B26" s="15">
        <v>22</v>
      </c>
      <c r="C26" s="16" t="s">
        <v>52</v>
      </c>
      <c r="D26" s="16" t="s">
        <v>52</v>
      </c>
      <c r="E26" s="16" t="s">
        <v>52</v>
      </c>
      <c r="F26" s="16" t="s">
        <v>52</v>
      </c>
      <c r="G26" s="16" t="s">
        <v>52</v>
      </c>
      <c r="H26" s="14" t="s">
        <v>52</v>
      </c>
      <c r="I26" s="14" t="s">
        <v>52</v>
      </c>
      <c r="J26" s="14" t="s">
        <v>52</v>
      </c>
      <c r="K26" s="14" t="s">
        <v>52</v>
      </c>
    </row>
    <row r="27" ht="20" customHeight="1" spans="2:11">
      <c r="B27" s="15">
        <v>23</v>
      </c>
      <c r="C27" s="16" t="s">
        <v>52</v>
      </c>
      <c r="D27" s="16" t="s">
        <v>52</v>
      </c>
      <c r="E27" s="16" t="s">
        <v>52</v>
      </c>
      <c r="F27" s="16" t="s">
        <v>52</v>
      </c>
      <c r="G27" s="16" t="s">
        <v>52</v>
      </c>
      <c r="H27" s="13" t="s">
        <v>52</v>
      </c>
      <c r="I27" s="13" t="s">
        <v>52</v>
      </c>
      <c r="J27" s="13" t="s">
        <v>52</v>
      </c>
      <c r="K27" s="13" t="s">
        <v>52</v>
      </c>
    </row>
    <row r="28" ht="20" customHeight="1" spans="2:11">
      <c r="B28" s="15">
        <v>24</v>
      </c>
      <c r="C28" s="16" t="s">
        <v>52</v>
      </c>
      <c r="D28" s="16" t="s">
        <v>52</v>
      </c>
      <c r="E28" s="16" t="s">
        <v>52</v>
      </c>
      <c r="F28" s="16" t="s">
        <v>52</v>
      </c>
      <c r="G28" s="16" t="s">
        <v>52</v>
      </c>
      <c r="H28" s="14" t="s">
        <v>52</v>
      </c>
      <c r="I28" s="14" t="s">
        <v>52</v>
      </c>
      <c r="J28" s="14" t="s">
        <v>52</v>
      </c>
      <c r="K28" s="14" t="s">
        <v>52</v>
      </c>
    </row>
    <row r="29" ht="20" customHeight="1" spans="2:11">
      <c r="B29" s="15">
        <v>25</v>
      </c>
      <c r="C29" s="16" t="s">
        <v>52</v>
      </c>
      <c r="D29" s="16" t="s">
        <v>52</v>
      </c>
      <c r="E29" s="16" t="s">
        <v>52</v>
      </c>
      <c r="F29" s="16" t="s">
        <v>52</v>
      </c>
      <c r="G29" s="16" t="s">
        <v>52</v>
      </c>
      <c r="H29" s="13" t="s">
        <v>52</v>
      </c>
      <c r="I29" s="13" t="s">
        <v>52</v>
      </c>
      <c r="J29" s="13" t="s">
        <v>52</v>
      </c>
      <c r="K29" s="13" t="s">
        <v>52</v>
      </c>
    </row>
    <row r="30" ht="20" customHeight="1" spans="2:11">
      <c r="B30" s="15">
        <v>26</v>
      </c>
      <c r="C30" s="16" t="s">
        <v>52</v>
      </c>
      <c r="D30" s="16" t="s">
        <v>52</v>
      </c>
      <c r="E30" s="16" t="s">
        <v>52</v>
      </c>
      <c r="F30" s="16" t="s">
        <v>52</v>
      </c>
      <c r="G30" s="16" t="s">
        <v>52</v>
      </c>
      <c r="H30" s="14" t="s">
        <v>52</v>
      </c>
      <c r="I30" s="14" t="s">
        <v>52</v>
      </c>
      <c r="J30" s="14" t="s">
        <v>52</v>
      </c>
      <c r="K30" s="14" t="s">
        <v>52</v>
      </c>
    </row>
    <row r="31" ht="20" customHeight="1" spans="2:11">
      <c r="B31" s="15">
        <v>27</v>
      </c>
      <c r="C31" s="16" t="s">
        <v>52</v>
      </c>
      <c r="D31" s="16" t="s">
        <v>52</v>
      </c>
      <c r="E31" s="16" t="s">
        <v>52</v>
      </c>
      <c r="F31" s="16" t="s">
        <v>52</v>
      </c>
      <c r="G31" s="16" t="s">
        <v>52</v>
      </c>
      <c r="H31" s="13" t="s">
        <v>52</v>
      </c>
      <c r="I31" s="13" t="s">
        <v>52</v>
      </c>
      <c r="J31" s="13" t="s">
        <v>52</v>
      </c>
      <c r="K31" s="13" t="s">
        <v>52</v>
      </c>
    </row>
    <row r="32" ht="20" customHeight="1" spans="2:11">
      <c r="B32" s="15">
        <v>28</v>
      </c>
      <c r="C32" s="16" t="s">
        <v>52</v>
      </c>
      <c r="D32" s="16" t="s">
        <v>52</v>
      </c>
      <c r="E32" s="16" t="s">
        <v>52</v>
      </c>
      <c r="F32" s="16" t="s">
        <v>52</v>
      </c>
      <c r="G32" s="16" t="s">
        <v>52</v>
      </c>
      <c r="H32" s="14" t="s">
        <v>52</v>
      </c>
      <c r="I32" s="14" t="s">
        <v>52</v>
      </c>
      <c r="J32" s="14" t="s">
        <v>52</v>
      </c>
      <c r="K32" s="14" t="s">
        <v>52</v>
      </c>
    </row>
    <row r="33" ht="20" customHeight="1" spans="2:11">
      <c r="B33" s="15">
        <v>29</v>
      </c>
      <c r="C33" s="16" t="s">
        <v>52</v>
      </c>
      <c r="D33" s="16" t="s">
        <v>52</v>
      </c>
      <c r="E33" s="16" t="s">
        <v>52</v>
      </c>
      <c r="F33" s="16" t="s">
        <v>52</v>
      </c>
      <c r="G33" s="16" t="s">
        <v>52</v>
      </c>
      <c r="H33" s="13" t="s">
        <v>52</v>
      </c>
      <c r="I33" s="13" t="s">
        <v>52</v>
      </c>
      <c r="J33" s="13" t="s">
        <v>52</v>
      </c>
      <c r="K33" s="13" t="s">
        <v>52</v>
      </c>
    </row>
    <row r="34" ht="20" customHeight="1" spans="2:11">
      <c r="B34" s="15">
        <v>30</v>
      </c>
      <c r="C34" s="16" t="s">
        <v>52</v>
      </c>
      <c r="D34" s="16" t="s">
        <v>52</v>
      </c>
      <c r="E34" s="16" t="s">
        <v>52</v>
      </c>
      <c r="F34" s="16" t="s">
        <v>52</v>
      </c>
      <c r="G34" s="16" t="s">
        <v>52</v>
      </c>
      <c r="H34" s="14" t="s">
        <v>52</v>
      </c>
      <c r="I34" s="14" t="s">
        <v>52</v>
      </c>
      <c r="J34" s="14" t="s">
        <v>52</v>
      </c>
      <c r="K34" s="14" t="s">
        <v>52</v>
      </c>
    </row>
    <row r="35" ht="20" customHeight="1" spans="2:11">
      <c r="B35" s="15">
        <v>31</v>
      </c>
      <c r="C35" s="16" t="s">
        <v>52</v>
      </c>
      <c r="D35" s="16" t="s">
        <v>52</v>
      </c>
      <c r="E35" s="16" t="s">
        <v>52</v>
      </c>
      <c r="F35" s="16" t="s">
        <v>52</v>
      </c>
      <c r="G35" s="16" t="s">
        <v>52</v>
      </c>
      <c r="H35" s="13" t="s">
        <v>52</v>
      </c>
      <c r="I35" s="13" t="s">
        <v>52</v>
      </c>
      <c r="J35" s="13" t="s">
        <v>52</v>
      </c>
      <c r="K35" s="13" t="s">
        <v>52</v>
      </c>
    </row>
    <row r="36" ht="20" customHeight="1" spans="2:11">
      <c r="B36" s="15">
        <v>32</v>
      </c>
      <c r="C36" s="16" t="s">
        <v>52</v>
      </c>
      <c r="D36" s="16" t="s">
        <v>52</v>
      </c>
      <c r="E36" s="16" t="s">
        <v>52</v>
      </c>
      <c r="F36" s="16" t="s">
        <v>52</v>
      </c>
      <c r="G36" s="16" t="s">
        <v>52</v>
      </c>
      <c r="H36" s="14" t="s">
        <v>52</v>
      </c>
      <c r="I36" s="14" t="s">
        <v>52</v>
      </c>
      <c r="J36" s="14" t="s">
        <v>52</v>
      </c>
      <c r="K36" s="14" t="s">
        <v>52</v>
      </c>
    </row>
    <row r="37" ht="20" customHeight="1" spans="2:11">
      <c r="B37" s="15">
        <v>33</v>
      </c>
      <c r="C37" s="16" t="s">
        <v>52</v>
      </c>
      <c r="D37" s="16" t="s">
        <v>52</v>
      </c>
      <c r="E37" s="16" t="s">
        <v>52</v>
      </c>
      <c r="F37" s="16" t="s">
        <v>52</v>
      </c>
      <c r="G37" s="16" t="s">
        <v>52</v>
      </c>
      <c r="H37" s="13" t="s">
        <v>52</v>
      </c>
      <c r="I37" s="13" t="s">
        <v>52</v>
      </c>
      <c r="J37" s="13" t="s">
        <v>52</v>
      </c>
      <c r="K37" s="13" t="s">
        <v>52</v>
      </c>
    </row>
  </sheetData>
  <mergeCells count="3">
    <mergeCell ref="B1:J1"/>
    <mergeCell ref="B2:J2"/>
    <mergeCell ref="B3:J3"/>
  </mergeCells>
  <dataValidations count="3">
    <dataValidation type="list" allowBlank="1" sqref="C5:C37">
      <formula1>"新增,更新"</formula1>
    </dataValidation>
    <dataValidation type="list" allowBlank="1" sqref="E5:E37">
      <formula1>"高一,高二,高三,初一,初二,初三"</formula1>
    </dataValidation>
    <dataValidation type="list" allowBlank="1" sqref="H5:H37">
      <formula1>"基础巩固型,中等提升型,高分冲刺型"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57"/>
  <sheetViews>
    <sheetView showGridLines="0" tabSelected="1" workbookViewId="0">
      <selection activeCell="A1" sqref="$A1:$XFD1048576"/>
    </sheetView>
  </sheetViews>
  <sheetFormatPr defaultColWidth="9" defaultRowHeight="16.8"/>
  <cols>
    <col min="1" max="1" width="4" customWidth="1"/>
    <col min="2" max="2" width="5.38461538461539" customWidth="1"/>
    <col min="3" max="3" width="10.7692307692308" customWidth="1"/>
    <col min="4" max="5" width="9.61538461538461" customWidth="1"/>
    <col min="6" max="6" width="12.5" customWidth="1"/>
    <col min="7" max="9" width="5.38461538461539" customWidth="1"/>
    <col min="10" max="10" width="9.69230769230769" customWidth="1"/>
    <col min="11" max="11" width="9.61538461538461" customWidth="1"/>
    <col min="12" max="12" width="20.1923076923077" customWidth="1"/>
  </cols>
  <sheetData>
    <row r="1" ht="36" customHeight="1" spans="2:12">
      <c r="B1" s="1" t="s">
        <v>59</v>
      </c>
    </row>
    <row r="2" ht="20" customHeight="1" spans="2:12">
      <c r="B2" s="2" t="s">
        <v>60</v>
      </c>
    </row>
    <row r="3" ht="18" customHeight="1" spans="2:12">
      <c r="B3" s="12" t="s">
        <v>61</v>
      </c>
    </row>
    <row r="4" ht="22" customHeight="1" spans="2:12">
      <c r="B4" s="9" t="s">
        <v>30</v>
      </c>
      <c r="C4" s="9" t="s">
        <v>62</v>
      </c>
      <c r="D4" s="9" t="s">
        <v>32</v>
      </c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70</v>
      </c>
    </row>
    <row r="5" ht="20" customHeight="1" spans="2:12">
      <c r="B5" s="13">
        <v>1</v>
      </c>
      <c r="C5" s="13" t="s">
        <v>71</v>
      </c>
      <c r="D5" s="13" t="s">
        <v>41</v>
      </c>
      <c r="E5" s="13" t="s">
        <v>72</v>
      </c>
      <c r="F5" s="13" t="s">
        <v>73</v>
      </c>
      <c r="G5" s="13">
        <v>10</v>
      </c>
      <c r="H5" s="13">
        <v>50</v>
      </c>
      <c r="I5" s="13">
        <v>38</v>
      </c>
      <c r="J5" s="8">
        <f t="shared" ref="J5:J57" si="0">IF(H5=0,"",I5/H5)</f>
        <v>0.76</v>
      </c>
      <c r="K5" s="13" t="s">
        <v>74</v>
      </c>
      <c r="L5" s="13" t="s">
        <v>75</v>
      </c>
    </row>
    <row r="6" ht="20" customHeight="1" spans="2:12">
      <c r="B6" s="14">
        <v>2</v>
      </c>
      <c r="C6" s="14" t="s">
        <v>76</v>
      </c>
      <c r="D6" s="14" t="s">
        <v>47</v>
      </c>
      <c r="E6" s="14" t="s">
        <v>72</v>
      </c>
      <c r="F6" s="14" t="s">
        <v>77</v>
      </c>
      <c r="G6" s="14">
        <v>8</v>
      </c>
      <c r="H6" s="14">
        <v>40</v>
      </c>
      <c r="I6" s="14">
        <v>28</v>
      </c>
      <c r="J6" s="8">
        <f t="shared" si="0"/>
        <v>0.7</v>
      </c>
      <c r="K6" s="14" t="s">
        <v>74</v>
      </c>
      <c r="L6" s="14" t="s">
        <v>78</v>
      </c>
    </row>
    <row r="7" ht="20" customHeight="1" spans="2:12">
      <c r="B7" s="13">
        <v>3</v>
      </c>
      <c r="C7" s="13" t="s">
        <v>79</v>
      </c>
      <c r="D7" s="13" t="s">
        <v>54</v>
      </c>
      <c r="E7" s="13" t="s">
        <v>72</v>
      </c>
      <c r="F7" s="13" t="s">
        <v>80</v>
      </c>
      <c r="G7" s="13">
        <v>12</v>
      </c>
      <c r="H7" s="13">
        <v>60</v>
      </c>
      <c r="I7" s="13">
        <v>55</v>
      </c>
      <c r="J7" s="8">
        <f t="shared" si="0"/>
        <v>0.916666666666667</v>
      </c>
      <c r="K7" s="13" t="s">
        <v>74</v>
      </c>
      <c r="L7" s="13" t="s">
        <v>52</v>
      </c>
    </row>
    <row r="8" ht="20" customHeight="1" spans="2:12">
      <c r="B8" s="15">
        <v>4</v>
      </c>
      <c r="C8" s="16" t="s">
        <v>52</v>
      </c>
      <c r="D8" s="16" t="s">
        <v>52</v>
      </c>
      <c r="E8" s="16" t="s">
        <v>52</v>
      </c>
      <c r="F8" s="16" t="s">
        <v>52</v>
      </c>
      <c r="G8" s="16" t="s">
        <v>52</v>
      </c>
      <c r="H8" s="16" t="s">
        <v>52</v>
      </c>
      <c r="I8" s="16" t="s">
        <v>52</v>
      </c>
      <c r="J8" s="8" t="e">
        <f t="shared" si="0"/>
        <v>#VALUE!</v>
      </c>
      <c r="K8" s="14" t="s">
        <v>52</v>
      </c>
      <c r="L8" s="14" t="s">
        <v>52</v>
      </c>
    </row>
    <row r="9" ht="20" customHeight="1" spans="2:12">
      <c r="B9" s="15">
        <v>5</v>
      </c>
      <c r="C9" s="16" t="s">
        <v>52</v>
      </c>
      <c r="D9" s="16" t="s">
        <v>52</v>
      </c>
      <c r="E9" s="16" t="s">
        <v>52</v>
      </c>
      <c r="F9" s="16" t="s">
        <v>52</v>
      </c>
      <c r="G9" s="16" t="s">
        <v>52</v>
      </c>
      <c r="H9" s="16" t="s">
        <v>52</v>
      </c>
      <c r="I9" s="16" t="s">
        <v>52</v>
      </c>
      <c r="J9" s="8" t="e">
        <f t="shared" si="0"/>
        <v>#VALUE!</v>
      </c>
      <c r="K9" s="13" t="s">
        <v>52</v>
      </c>
      <c r="L9" s="13" t="s">
        <v>52</v>
      </c>
    </row>
    <row r="10" ht="20" customHeight="1" spans="2:12">
      <c r="B10" s="15">
        <v>6</v>
      </c>
      <c r="C10" s="16" t="s">
        <v>52</v>
      </c>
      <c r="D10" s="16" t="s">
        <v>52</v>
      </c>
      <c r="E10" s="16" t="s">
        <v>52</v>
      </c>
      <c r="F10" s="16" t="s">
        <v>52</v>
      </c>
      <c r="G10" s="16" t="s">
        <v>52</v>
      </c>
      <c r="H10" s="16" t="s">
        <v>52</v>
      </c>
      <c r="I10" s="16" t="s">
        <v>52</v>
      </c>
      <c r="J10" s="8" t="e">
        <f t="shared" si="0"/>
        <v>#VALUE!</v>
      </c>
      <c r="K10" s="14" t="s">
        <v>52</v>
      </c>
      <c r="L10" s="14" t="s">
        <v>52</v>
      </c>
    </row>
    <row r="11" ht="20" customHeight="1" spans="2:12">
      <c r="B11" s="15">
        <v>7</v>
      </c>
      <c r="C11" s="16" t="s">
        <v>52</v>
      </c>
      <c r="D11" s="16" t="s">
        <v>52</v>
      </c>
      <c r="E11" s="16" t="s">
        <v>52</v>
      </c>
      <c r="F11" s="16" t="s">
        <v>52</v>
      </c>
      <c r="G11" s="16" t="s">
        <v>52</v>
      </c>
      <c r="H11" s="16" t="s">
        <v>52</v>
      </c>
      <c r="I11" s="16" t="s">
        <v>52</v>
      </c>
      <c r="J11" s="8" t="e">
        <f t="shared" si="0"/>
        <v>#VALUE!</v>
      </c>
      <c r="K11" s="13" t="s">
        <v>52</v>
      </c>
      <c r="L11" s="13" t="s">
        <v>52</v>
      </c>
    </row>
    <row r="12" ht="20" customHeight="1" spans="2:12">
      <c r="B12" s="15">
        <v>8</v>
      </c>
      <c r="C12" s="16" t="s">
        <v>52</v>
      </c>
      <c r="D12" s="16" t="s">
        <v>52</v>
      </c>
      <c r="E12" s="16" t="s">
        <v>52</v>
      </c>
      <c r="F12" s="16" t="s">
        <v>52</v>
      </c>
      <c r="G12" s="16" t="s">
        <v>52</v>
      </c>
      <c r="H12" s="16" t="s">
        <v>52</v>
      </c>
      <c r="I12" s="16" t="s">
        <v>52</v>
      </c>
      <c r="J12" s="8" t="e">
        <f t="shared" si="0"/>
        <v>#VALUE!</v>
      </c>
      <c r="K12" s="14" t="s">
        <v>52</v>
      </c>
      <c r="L12" s="14" t="s">
        <v>52</v>
      </c>
    </row>
    <row r="13" ht="20" customHeight="1" spans="2:12">
      <c r="B13" s="15">
        <v>9</v>
      </c>
      <c r="C13" s="16" t="s">
        <v>52</v>
      </c>
      <c r="D13" s="16" t="s">
        <v>52</v>
      </c>
      <c r="E13" s="16" t="s">
        <v>52</v>
      </c>
      <c r="F13" s="16" t="s">
        <v>52</v>
      </c>
      <c r="G13" s="16" t="s">
        <v>52</v>
      </c>
      <c r="H13" s="16" t="s">
        <v>52</v>
      </c>
      <c r="I13" s="16" t="s">
        <v>52</v>
      </c>
      <c r="J13" s="8" t="e">
        <f t="shared" si="0"/>
        <v>#VALUE!</v>
      </c>
      <c r="K13" s="13" t="s">
        <v>52</v>
      </c>
      <c r="L13" s="13" t="s">
        <v>52</v>
      </c>
    </row>
    <row r="14" ht="20" customHeight="1" spans="2:12">
      <c r="B14" s="15">
        <v>10</v>
      </c>
      <c r="C14" s="16" t="s">
        <v>52</v>
      </c>
      <c r="D14" s="16" t="s">
        <v>52</v>
      </c>
      <c r="E14" s="16" t="s">
        <v>52</v>
      </c>
      <c r="F14" s="16" t="s">
        <v>52</v>
      </c>
      <c r="G14" s="16" t="s">
        <v>52</v>
      </c>
      <c r="H14" s="16" t="s">
        <v>52</v>
      </c>
      <c r="I14" s="16" t="s">
        <v>52</v>
      </c>
      <c r="J14" s="8" t="e">
        <f t="shared" si="0"/>
        <v>#VALUE!</v>
      </c>
      <c r="K14" s="14" t="s">
        <v>52</v>
      </c>
      <c r="L14" s="14" t="s">
        <v>52</v>
      </c>
    </row>
    <row r="15" ht="20" customHeight="1" spans="2:12">
      <c r="B15" s="15">
        <v>11</v>
      </c>
      <c r="C15" s="16" t="s">
        <v>52</v>
      </c>
      <c r="D15" s="16" t="s">
        <v>52</v>
      </c>
      <c r="E15" s="16" t="s">
        <v>52</v>
      </c>
      <c r="F15" s="16" t="s">
        <v>52</v>
      </c>
      <c r="G15" s="16" t="s">
        <v>52</v>
      </c>
      <c r="H15" s="16" t="s">
        <v>52</v>
      </c>
      <c r="I15" s="16" t="s">
        <v>52</v>
      </c>
      <c r="J15" s="8" t="e">
        <f t="shared" si="0"/>
        <v>#VALUE!</v>
      </c>
      <c r="K15" s="13" t="s">
        <v>52</v>
      </c>
      <c r="L15" s="13" t="s">
        <v>52</v>
      </c>
    </row>
    <row r="16" ht="20" customHeight="1" spans="2:12">
      <c r="B16" s="15">
        <v>12</v>
      </c>
      <c r="C16" s="16" t="s">
        <v>52</v>
      </c>
      <c r="D16" s="16" t="s">
        <v>52</v>
      </c>
      <c r="E16" s="16" t="s">
        <v>52</v>
      </c>
      <c r="F16" s="16" t="s">
        <v>52</v>
      </c>
      <c r="G16" s="16" t="s">
        <v>52</v>
      </c>
      <c r="H16" s="16" t="s">
        <v>52</v>
      </c>
      <c r="I16" s="16" t="s">
        <v>52</v>
      </c>
      <c r="J16" s="8" t="e">
        <f t="shared" si="0"/>
        <v>#VALUE!</v>
      </c>
      <c r="K16" s="14" t="s">
        <v>52</v>
      </c>
      <c r="L16" s="14" t="s">
        <v>52</v>
      </c>
    </row>
    <row r="17" ht="20" customHeight="1" spans="2:12">
      <c r="B17" s="15">
        <v>13</v>
      </c>
      <c r="C17" s="16" t="s">
        <v>52</v>
      </c>
      <c r="D17" s="16" t="s">
        <v>52</v>
      </c>
      <c r="E17" s="16" t="s">
        <v>52</v>
      </c>
      <c r="F17" s="16" t="s">
        <v>52</v>
      </c>
      <c r="G17" s="16" t="s">
        <v>52</v>
      </c>
      <c r="H17" s="16" t="s">
        <v>52</v>
      </c>
      <c r="I17" s="16" t="s">
        <v>52</v>
      </c>
      <c r="J17" s="8" t="e">
        <f t="shared" si="0"/>
        <v>#VALUE!</v>
      </c>
      <c r="K17" s="13" t="s">
        <v>52</v>
      </c>
      <c r="L17" s="13" t="s">
        <v>52</v>
      </c>
    </row>
    <row r="18" ht="20" customHeight="1" spans="2:12">
      <c r="B18" s="15">
        <v>14</v>
      </c>
      <c r="C18" s="16" t="s">
        <v>52</v>
      </c>
      <c r="D18" s="16" t="s">
        <v>52</v>
      </c>
      <c r="E18" s="16" t="s">
        <v>52</v>
      </c>
      <c r="F18" s="16" t="s">
        <v>52</v>
      </c>
      <c r="G18" s="16" t="s">
        <v>52</v>
      </c>
      <c r="H18" s="16" t="s">
        <v>52</v>
      </c>
      <c r="I18" s="16" t="s">
        <v>52</v>
      </c>
      <c r="J18" s="8" t="e">
        <f t="shared" si="0"/>
        <v>#VALUE!</v>
      </c>
      <c r="K18" s="14" t="s">
        <v>52</v>
      </c>
      <c r="L18" s="14" t="s">
        <v>52</v>
      </c>
    </row>
    <row r="19" ht="20" customHeight="1" spans="2:12">
      <c r="B19" s="15">
        <v>15</v>
      </c>
      <c r="C19" s="16" t="s">
        <v>52</v>
      </c>
      <c r="D19" s="16" t="s">
        <v>52</v>
      </c>
      <c r="E19" s="16" t="s">
        <v>52</v>
      </c>
      <c r="F19" s="16" t="s">
        <v>52</v>
      </c>
      <c r="G19" s="16" t="s">
        <v>52</v>
      </c>
      <c r="H19" s="16" t="s">
        <v>52</v>
      </c>
      <c r="I19" s="16" t="s">
        <v>52</v>
      </c>
      <c r="J19" s="8" t="e">
        <f t="shared" si="0"/>
        <v>#VALUE!</v>
      </c>
      <c r="K19" s="13" t="s">
        <v>52</v>
      </c>
      <c r="L19" s="13" t="s">
        <v>52</v>
      </c>
    </row>
    <row r="20" ht="20" customHeight="1" spans="2:12">
      <c r="B20" s="15">
        <v>16</v>
      </c>
      <c r="C20" s="16" t="s">
        <v>52</v>
      </c>
      <c r="D20" s="16" t="s">
        <v>52</v>
      </c>
      <c r="E20" s="16" t="s">
        <v>52</v>
      </c>
      <c r="F20" s="16" t="s">
        <v>52</v>
      </c>
      <c r="G20" s="16" t="s">
        <v>52</v>
      </c>
      <c r="H20" s="16" t="s">
        <v>52</v>
      </c>
      <c r="I20" s="16" t="s">
        <v>52</v>
      </c>
      <c r="J20" s="8" t="e">
        <f t="shared" si="0"/>
        <v>#VALUE!</v>
      </c>
      <c r="K20" s="14" t="s">
        <v>52</v>
      </c>
      <c r="L20" s="14" t="s">
        <v>52</v>
      </c>
    </row>
    <row r="21" ht="20" customHeight="1" spans="2:12">
      <c r="B21" s="15">
        <v>17</v>
      </c>
      <c r="C21" s="16" t="s">
        <v>52</v>
      </c>
      <c r="D21" s="16" t="s">
        <v>52</v>
      </c>
      <c r="E21" s="16" t="s">
        <v>52</v>
      </c>
      <c r="F21" s="16" t="s">
        <v>52</v>
      </c>
      <c r="G21" s="16" t="s">
        <v>52</v>
      </c>
      <c r="H21" s="16" t="s">
        <v>52</v>
      </c>
      <c r="I21" s="16" t="s">
        <v>52</v>
      </c>
      <c r="J21" s="8" t="e">
        <f t="shared" si="0"/>
        <v>#VALUE!</v>
      </c>
      <c r="K21" s="13" t="s">
        <v>52</v>
      </c>
      <c r="L21" s="13" t="s">
        <v>52</v>
      </c>
    </row>
    <row r="22" ht="20" customHeight="1" spans="2:12">
      <c r="B22" s="15">
        <v>18</v>
      </c>
      <c r="C22" s="16" t="s">
        <v>52</v>
      </c>
      <c r="D22" s="16" t="s">
        <v>52</v>
      </c>
      <c r="E22" s="16" t="s">
        <v>52</v>
      </c>
      <c r="F22" s="16" t="s">
        <v>52</v>
      </c>
      <c r="G22" s="16" t="s">
        <v>52</v>
      </c>
      <c r="H22" s="16" t="s">
        <v>52</v>
      </c>
      <c r="I22" s="16" t="s">
        <v>52</v>
      </c>
      <c r="J22" s="8" t="e">
        <f t="shared" si="0"/>
        <v>#VALUE!</v>
      </c>
      <c r="K22" s="14" t="s">
        <v>52</v>
      </c>
      <c r="L22" s="14" t="s">
        <v>52</v>
      </c>
    </row>
    <row r="23" ht="20" customHeight="1" spans="2:12">
      <c r="B23" s="15">
        <v>19</v>
      </c>
      <c r="C23" s="16" t="s">
        <v>52</v>
      </c>
      <c r="D23" s="16" t="s">
        <v>52</v>
      </c>
      <c r="E23" s="16" t="s">
        <v>52</v>
      </c>
      <c r="F23" s="16" t="s">
        <v>52</v>
      </c>
      <c r="G23" s="16" t="s">
        <v>52</v>
      </c>
      <c r="H23" s="16" t="s">
        <v>52</v>
      </c>
      <c r="I23" s="16" t="s">
        <v>52</v>
      </c>
      <c r="J23" s="8" t="e">
        <f t="shared" si="0"/>
        <v>#VALUE!</v>
      </c>
      <c r="K23" s="13" t="s">
        <v>52</v>
      </c>
      <c r="L23" s="13" t="s">
        <v>52</v>
      </c>
    </row>
    <row r="24" ht="20" customHeight="1" spans="2:12">
      <c r="B24" s="15">
        <v>20</v>
      </c>
      <c r="C24" s="16" t="s">
        <v>52</v>
      </c>
      <c r="D24" s="16" t="s">
        <v>52</v>
      </c>
      <c r="E24" s="16" t="s">
        <v>52</v>
      </c>
      <c r="F24" s="16" t="s">
        <v>52</v>
      </c>
      <c r="G24" s="16" t="s">
        <v>52</v>
      </c>
      <c r="H24" s="16" t="s">
        <v>52</v>
      </c>
      <c r="I24" s="16" t="s">
        <v>52</v>
      </c>
      <c r="J24" s="8" t="e">
        <f t="shared" si="0"/>
        <v>#VALUE!</v>
      </c>
      <c r="K24" s="14" t="s">
        <v>52</v>
      </c>
      <c r="L24" s="14" t="s">
        <v>52</v>
      </c>
    </row>
    <row r="25" ht="20" customHeight="1" spans="2:12">
      <c r="B25" s="15">
        <v>21</v>
      </c>
      <c r="C25" s="16" t="s">
        <v>52</v>
      </c>
      <c r="D25" s="16" t="s">
        <v>52</v>
      </c>
      <c r="E25" s="16" t="s">
        <v>52</v>
      </c>
      <c r="F25" s="16" t="s">
        <v>52</v>
      </c>
      <c r="G25" s="16" t="s">
        <v>52</v>
      </c>
      <c r="H25" s="16" t="s">
        <v>52</v>
      </c>
      <c r="I25" s="16" t="s">
        <v>52</v>
      </c>
      <c r="J25" s="8" t="e">
        <f t="shared" si="0"/>
        <v>#VALUE!</v>
      </c>
      <c r="K25" s="13" t="s">
        <v>52</v>
      </c>
      <c r="L25" s="13" t="s">
        <v>52</v>
      </c>
    </row>
    <row r="26" ht="20" customHeight="1" spans="2:12">
      <c r="B26" s="15">
        <v>22</v>
      </c>
      <c r="C26" s="16" t="s">
        <v>52</v>
      </c>
      <c r="D26" s="16" t="s">
        <v>52</v>
      </c>
      <c r="E26" s="16" t="s">
        <v>52</v>
      </c>
      <c r="F26" s="16" t="s">
        <v>52</v>
      </c>
      <c r="G26" s="16" t="s">
        <v>52</v>
      </c>
      <c r="H26" s="16" t="s">
        <v>52</v>
      </c>
      <c r="I26" s="16" t="s">
        <v>52</v>
      </c>
      <c r="J26" s="8" t="e">
        <f t="shared" si="0"/>
        <v>#VALUE!</v>
      </c>
      <c r="K26" s="14" t="s">
        <v>52</v>
      </c>
      <c r="L26" s="14" t="s">
        <v>52</v>
      </c>
    </row>
    <row r="27" ht="20" customHeight="1" spans="2:12">
      <c r="B27" s="15">
        <v>23</v>
      </c>
      <c r="C27" s="16" t="s">
        <v>52</v>
      </c>
      <c r="D27" s="16" t="s">
        <v>52</v>
      </c>
      <c r="E27" s="16" t="s">
        <v>52</v>
      </c>
      <c r="F27" s="16" t="s">
        <v>52</v>
      </c>
      <c r="G27" s="16" t="s">
        <v>52</v>
      </c>
      <c r="H27" s="16" t="s">
        <v>52</v>
      </c>
      <c r="I27" s="16" t="s">
        <v>52</v>
      </c>
      <c r="J27" s="8" t="e">
        <f t="shared" si="0"/>
        <v>#VALUE!</v>
      </c>
      <c r="K27" s="13" t="s">
        <v>52</v>
      </c>
      <c r="L27" s="13" t="s">
        <v>52</v>
      </c>
    </row>
    <row r="28" ht="20" customHeight="1" spans="2:12">
      <c r="B28" s="15">
        <v>24</v>
      </c>
      <c r="C28" s="16" t="s">
        <v>52</v>
      </c>
      <c r="D28" s="16" t="s">
        <v>52</v>
      </c>
      <c r="E28" s="16" t="s">
        <v>52</v>
      </c>
      <c r="F28" s="16" t="s">
        <v>52</v>
      </c>
      <c r="G28" s="16" t="s">
        <v>52</v>
      </c>
      <c r="H28" s="16" t="s">
        <v>52</v>
      </c>
      <c r="I28" s="16" t="s">
        <v>52</v>
      </c>
      <c r="J28" s="8" t="e">
        <f t="shared" si="0"/>
        <v>#VALUE!</v>
      </c>
      <c r="K28" s="14" t="s">
        <v>52</v>
      </c>
      <c r="L28" s="14" t="s">
        <v>52</v>
      </c>
    </row>
    <row r="29" ht="20" customHeight="1" spans="2:12">
      <c r="B29" s="15">
        <v>25</v>
      </c>
      <c r="C29" s="16" t="s">
        <v>52</v>
      </c>
      <c r="D29" s="16" t="s">
        <v>52</v>
      </c>
      <c r="E29" s="16" t="s">
        <v>52</v>
      </c>
      <c r="F29" s="16" t="s">
        <v>52</v>
      </c>
      <c r="G29" s="16" t="s">
        <v>52</v>
      </c>
      <c r="H29" s="16" t="s">
        <v>52</v>
      </c>
      <c r="I29" s="16" t="s">
        <v>52</v>
      </c>
      <c r="J29" s="8" t="e">
        <f t="shared" si="0"/>
        <v>#VALUE!</v>
      </c>
      <c r="K29" s="13" t="s">
        <v>52</v>
      </c>
      <c r="L29" s="13" t="s">
        <v>52</v>
      </c>
    </row>
    <row r="30" ht="20" customHeight="1" spans="2:12">
      <c r="B30" s="15">
        <v>26</v>
      </c>
      <c r="C30" s="16" t="s">
        <v>52</v>
      </c>
      <c r="D30" s="16" t="s">
        <v>52</v>
      </c>
      <c r="E30" s="16" t="s">
        <v>52</v>
      </c>
      <c r="F30" s="16" t="s">
        <v>52</v>
      </c>
      <c r="G30" s="16" t="s">
        <v>52</v>
      </c>
      <c r="H30" s="16" t="s">
        <v>52</v>
      </c>
      <c r="I30" s="16" t="s">
        <v>52</v>
      </c>
      <c r="J30" s="8" t="e">
        <f t="shared" si="0"/>
        <v>#VALUE!</v>
      </c>
      <c r="K30" s="14" t="s">
        <v>52</v>
      </c>
      <c r="L30" s="14" t="s">
        <v>52</v>
      </c>
    </row>
    <row r="31" ht="20" customHeight="1" spans="2:12">
      <c r="B31" s="15">
        <v>27</v>
      </c>
      <c r="C31" s="16" t="s">
        <v>52</v>
      </c>
      <c r="D31" s="16" t="s">
        <v>52</v>
      </c>
      <c r="E31" s="16" t="s">
        <v>52</v>
      </c>
      <c r="F31" s="16" t="s">
        <v>52</v>
      </c>
      <c r="G31" s="16" t="s">
        <v>52</v>
      </c>
      <c r="H31" s="16" t="s">
        <v>52</v>
      </c>
      <c r="I31" s="16" t="s">
        <v>52</v>
      </c>
      <c r="J31" s="8" t="e">
        <f t="shared" si="0"/>
        <v>#VALUE!</v>
      </c>
      <c r="K31" s="13" t="s">
        <v>52</v>
      </c>
      <c r="L31" s="13" t="s">
        <v>52</v>
      </c>
    </row>
    <row r="32" ht="20" customHeight="1" spans="2:12">
      <c r="B32" s="15">
        <v>28</v>
      </c>
      <c r="C32" s="16" t="s">
        <v>52</v>
      </c>
      <c r="D32" s="16" t="s">
        <v>52</v>
      </c>
      <c r="E32" s="16" t="s">
        <v>52</v>
      </c>
      <c r="F32" s="16" t="s">
        <v>52</v>
      </c>
      <c r="G32" s="16" t="s">
        <v>52</v>
      </c>
      <c r="H32" s="16" t="s">
        <v>52</v>
      </c>
      <c r="I32" s="16" t="s">
        <v>52</v>
      </c>
      <c r="J32" s="8" t="e">
        <f t="shared" si="0"/>
        <v>#VALUE!</v>
      </c>
      <c r="K32" s="14" t="s">
        <v>52</v>
      </c>
      <c r="L32" s="14" t="s">
        <v>52</v>
      </c>
    </row>
    <row r="33" ht="20" customHeight="1" spans="2:12">
      <c r="B33" s="15">
        <v>29</v>
      </c>
      <c r="C33" s="16" t="s">
        <v>52</v>
      </c>
      <c r="D33" s="16" t="s">
        <v>52</v>
      </c>
      <c r="E33" s="16" t="s">
        <v>52</v>
      </c>
      <c r="F33" s="16" t="s">
        <v>52</v>
      </c>
      <c r="G33" s="16" t="s">
        <v>52</v>
      </c>
      <c r="H33" s="16" t="s">
        <v>52</v>
      </c>
      <c r="I33" s="16" t="s">
        <v>52</v>
      </c>
      <c r="J33" s="8" t="e">
        <f t="shared" si="0"/>
        <v>#VALUE!</v>
      </c>
      <c r="K33" s="13" t="s">
        <v>52</v>
      </c>
      <c r="L33" s="13" t="s">
        <v>52</v>
      </c>
    </row>
    <row r="34" ht="20" customHeight="1" spans="2:12">
      <c r="B34" s="15">
        <v>30</v>
      </c>
      <c r="C34" s="16" t="s">
        <v>52</v>
      </c>
      <c r="D34" s="16" t="s">
        <v>52</v>
      </c>
      <c r="E34" s="16" t="s">
        <v>52</v>
      </c>
      <c r="F34" s="16" t="s">
        <v>52</v>
      </c>
      <c r="G34" s="16" t="s">
        <v>52</v>
      </c>
      <c r="H34" s="16" t="s">
        <v>52</v>
      </c>
      <c r="I34" s="16" t="s">
        <v>52</v>
      </c>
      <c r="J34" s="8" t="e">
        <f t="shared" si="0"/>
        <v>#VALUE!</v>
      </c>
      <c r="K34" s="14" t="s">
        <v>52</v>
      </c>
      <c r="L34" s="14" t="s">
        <v>52</v>
      </c>
    </row>
    <row r="35" ht="20" customHeight="1" spans="2:12">
      <c r="B35" s="15">
        <v>31</v>
      </c>
      <c r="C35" s="16" t="s">
        <v>52</v>
      </c>
      <c r="D35" s="16" t="s">
        <v>52</v>
      </c>
      <c r="E35" s="16" t="s">
        <v>52</v>
      </c>
      <c r="F35" s="16" t="s">
        <v>52</v>
      </c>
      <c r="G35" s="16" t="s">
        <v>52</v>
      </c>
      <c r="H35" s="16" t="s">
        <v>52</v>
      </c>
      <c r="I35" s="16" t="s">
        <v>52</v>
      </c>
      <c r="J35" s="8" t="e">
        <f t="shared" si="0"/>
        <v>#VALUE!</v>
      </c>
      <c r="K35" s="13" t="s">
        <v>52</v>
      </c>
      <c r="L35" s="13" t="s">
        <v>52</v>
      </c>
    </row>
    <row r="36" ht="20" customHeight="1" spans="2:12">
      <c r="B36" s="15">
        <v>32</v>
      </c>
      <c r="C36" s="16" t="s">
        <v>52</v>
      </c>
      <c r="D36" s="16" t="s">
        <v>52</v>
      </c>
      <c r="E36" s="16" t="s">
        <v>52</v>
      </c>
      <c r="F36" s="16" t="s">
        <v>52</v>
      </c>
      <c r="G36" s="16" t="s">
        <v>52</v>
      </c>
      <c r="H36" s="16" t="s">
        <v>52</v>
      </c>
      <c r="I36" s="16" t="s">
        <v>52</v>
      </c>
      <c r="J36" s="8" t="e">
        <f t="shared" si="0"/>
        <v>#VALUE!</v>
      </c>
      <c r="K36" s="14" t="s">
        <v>52</v>
      </c>
      <c r="L36" s="14" t="s">
        <v>52</v>
      </c>
    </row>
    <row r="37" ht="20" customHeight="1" spans="2:12">
      <c r="B37" s="15">
        <v>33</v>
      </c>
      <c r="C37" s="16" t="s">
        <v>52</v>
      </c>
      <c r="D37" s="16" t="s">
        <v>52</v>
      </c>
      <c r="E37" s="16" t="s">
        <v>52</v>
      </c>
      <c r="F37" s="16" t="s">
        <v>52</v>
      </c>
      <c r="G37" s="16" t="s">
        <v>52</v>
      </c>
      <c r="H37" s="16" t="s">
        <v>52</v>
      </c>
      <c r="I37" s="16" t="s">
        <v>52</v>
      </c>
      <c r="J37" s="8" t="e">
        <f t="shared" si="0"/>
        <v>#VALUE!</v>
      </c>
      <c r="K37" s="13" t="s">
        <v>52</v>
      </c>
      <c r="L37" s="13" t="s">
        <v>52</v>
      </c>
    </row>
    <row r="38" ht="20" customHeight="1" spans="2:12">
      <c r="B38" s="15">
        <v>34</v>
      </c>
      <c r="C38" s="16" t="s">
        <v>52</v>
      </c>
      <c r="D38" s="16" t="s">
        <v>52</v>
      </c>
      <c r="E38" s="16" t="s">
        <v>52</v>
      </c>
      <c r="F38" s="16" t="s">
        <v>52</v>
      </c>
      <c r="G38" s="16" t="s">
        <v>52</v>
      </c>
      <c r="H38" s="16" t="s">
        <v>52</v>
      </c>
      <c r="I38" s="16" t="s">
        <v>52</v>
      </c>
      <c r="J38" s="8" t="e">
        <f t="shared" si="0"/>
        <v>#VALUE!</v>
      </c>
      <c r="K38" s="14" t="s">
        <v>52</v>
      </c>
      <c r="L38" s="14" t="s">
        <v>52</v>
      </c>
    </row>
    <row r="39" ht="20" customHeight="1" spans="2:12">
      <c r="B39" s="15">
        <v>35</v>
      </c>
      <c r="C39" s="16" t="s">
        <v>52</v>
      </c>
      <c r="D39" s="16" t="s">
        <v>52</v>
      </c>
      <c r="E39" s="16" t="s">
        <v>52</v>
      </c>
      <c r="F39" s="16" t="s">
        <v>52</v>
      </c>
      <c r="G39" s="16" t="s">
        <v>52</v>
      </c>
      <c r="H39" s="16" t="s">
        <v>52</v>
      </c>
      <c r="I39" s="16" t="s">
        <v>52</v>
      </c>
      <c r="J39" s="8" t="e">
        <f t="shared" si="0"/>
        <v>#VALUE!</v>
      </c>
      <c r="K39" s="13" t="s">
        <v>52</v>
      </c>
      <c r="L39" s="13" t="s">
        <v>52</v>
      </c>
    </row>
    <row r="40" ht="20" customHeight="1" spans="2:12">
      <c r="B40" s="15">
        <v>36</v>
      </c>
      <c r="C40" s="16" t="s">
        <v>52</v>
      </c>
      <c r="D40" s="16" t="s">
        <v>52</v>
      </c>
      <c r="E40" s="16" t="s">
        <v>52</v>
      </c>
      <c r="F40" s="16" t="s">
        <v>52</v>
      </c>
      <c r="G40" s="16" t="s">
        <v>52</v>
      </c>
      <c r="H40" s="16" t="s">
        <v>52</v>
      </c>
      <c r="I40" s="16" t="s">
        <v>52</v>
      </c>
      <c r="J40" s="8" t="e">
        <f t="shared" si="0"/>
        <v>#VALUE!</v>
      </c>
      <c r="K40" s="14" t="s">
        <v>52</v>
      </c>
      <c r="L40" s="14" t="s">
        <v>52</v>
      </c>
    </row>
    <row r="41" ht="20" customHeight="1" spans="2:12">
      <c r="B41" s="15">
        <v>37</v>
      </c>
      <c r="C41" s="16" t="s">
        <v>52</v>
      </c>
      <c r="D41" s="16" t="s">
        <v>52</v>
      </c>
      <c r="E41" s="16" t="s">
        <v>52</v>
      </c>
      <c r="F41" s="16" t="s">
        <v>52</v>
      </c>
      <c r="G41" s="16" t="s">
        <v>52</v>
      </c>
      <c r="H41" s="16" t="s">
        <v>52</v>
      </c>
      <c r="I41" s="16" t="s">
        <v>52</v>
      </c>
      <c r="J41" s="8" t="e">
        <f t="shared" si="0"/>
        <v>#VALUE!</v>
      </c>
      <c r="K41" s="13" t="s">
        <v>52</v>
      </c>
      <c r="L41" s="13" t="s">
        <v>52</v>
      </c>
    </row>
    <row r="42" ht="20" customHeight="1" spans="2:12">
      <c r="B42" s="15">
        <v>38</v>
      </c>
      <c r="C42" s="16" t="s">
        <v>52</v>
      </c>
      <c r="D42" s="16" t="s">
        <v>52</v>
      </c>
      <c r="E42" s="16" t="s">
        <v>52</v>
      </c>
      <c r="F42" s="16" t="s">
        <v>52</v>
      </c>
      <c r="G42" s="16" t="s">
        <v>52</v>
      </c>
      <c r="H42" s="16" t="s">
        <v>52</v>
      </c>
      <c r="I42" s="16" t="s">
        <v>52</v>
      </c>
      <c r="J42" s="8" t="e">
        <f t="shared" si="0"/>
        <v>#VALUE!</v>
      </c>
      <c r="K42" s="14" t="s">
        <v>52</v>
      </c>
      <c r="L42" s="14" t="s">
        <v>52</v>
      </c>
    </row>
    <row r="43" ht="20" customHeight="1" spans="2:12">
      <c r="B43" s="15">
        <v>39</v>
      </c>
      <c r="C43" s="16" t="s">
        <v>52</v>
      </c>
      <c r="D43" s="16" t="s">
        <v>52</v>
      </c>
      <c r="E43" s="16" t="s">
        <v>52</v>
      </c>
      <c r="F43" s="16" t="s">
        <v>52</v>
      </c>
      <c r="G43" s="16" t="s">
        <v>52</v>
      </c>
      <c r="H43" s="16" t="s">
        <v>52</v>
      </c>
      <c r="I43" s="16" t="s">
        <v>52</v>
      </c>
      <c r="J43" s="8" t="e">
        <f t="shared" si="0"/>
        <v>#VALUE!</v>
      </c>
      <c r="K43" s="13" t="s">
        <v>52</v>
      </c>
      <c r="L43" s="13" t="s">
        <v>52</v>
      </c>
    </row>
    <row r="44" ht="20" customHeight="1" spans="2:12">
      <c r="B44" s="15">
        <v>40</v>
      </c>
      <c r="C44" s="16" t="s">
        <v>52</v>
      </c>
      <c r="D44" s="16" t="s">
        <v>52</v>
      </c>
      <c r="E44" s="16" t="s">
        <v>52</v>
      </c>
      <c r="F44" s="16" t="s">
        <v>52</v>
      </c>
      <c r="G44" s="16" t="s">
        <v>52</v>
      </c>
      <c r="H44" s="16" t="s">
        <v>52</v>
      </c>
      <c r="I44" s="16" t="s">
        <v>52</v>
      </c>
      <c r="J44" s="8" t="e">
        <f t="shared" si="0"/>
        <v>#VALUE!</v>
      </c>
      <c r="K44" s="14" t="s">
        <v>52</v>
      </c>
      <c r="L44" s="14" t="s">
        <v>52</v>
      </c>
    </row>
    <row r="45" ht="20" customHeight="1" spans="2:12">
      <c r="B45" s="15">
        <v>41</v>
      </c>
      <c r="C45" s="16" t="s">
        <v>52</v>
      </c>
      <c r="D45" s="16" t="s">
        <v>52</v>
      </c>
      <c r="E45" s="16" t="s">
        <v>52</v>
      </c>
      <c r="F45" s="16" t="s">
        <v>52</v>
      </c>
      <c r="G45" s="16" t="s">
        <v>52</v>
      </c>
      <c r="H45" s="16" t="s">
        <v>52</v>
      </c>
      <c r="I45" s="16" t="s">
        <v>52</v>
      </c>
      <c r="J45" s="8" t="e">
        <f t="shared" si="0"/>
        <v>#VALUE!</v>
      </c>
      <c r="K45" s="13" t="s">
        <v>52</v>
      </c>
      <c r="L45" s="13" t="s">
        <v>52</v>
      </c>
    </row>
    <row r="46" ht="20" customHeight="1" spans="2:12">
      <c r="B46" s="15">
        <v>42</v>
      </c>
      <c r="C46" s="16" t="s">
        <v>52</v>
      </c>
      <c r="D46" s="16" t="s">
        <v>52</v>
      </c>
      <c r="E46" s="16" t="s">
        <v>52</v>
      </c>
      <c r="F46" s="16" t="s">
        <v>52</v>
      </c>
      <c r="G46" s="16" t="s">
        <v>52</v>
      </c>
      <c r="H46" s="16" t="s">
        <v>52</v>
      </c>
      <c r="I46" s="16" t="s">
        <v>52</v>
      </c>
      <c r="J46" s="8" t="e">
        <f t="shared" si="0"/>
        <v>#VALUE!</v>
      </c>
      <c r="K46" s="14" t="s">
        <v>52</v>
      </c>
      <c r="L46" s="14" t="s">
        <v>52</v>
      </c>
    </row>
    <row r="47" ht="20" customHeight="1" spans="2:12">
      <c r="B47" s="15">
        <v>43</v>
      </c>
      <c r="C47" s="16" t="s">
        <v>52</v>
      </c>
      <c r="D47" s="16" t="s">
        <v>52</v>
      </c>
      <c r="E47" s="16" t="s">
        <v>52</v>
      </c>
      <c r="F47" s="16" t="s">
        <v>52</v>
      </c>
      <c r="G47" s="16" t="s">
        <v>52</v>
      </c>
      <c r="H47" s="16" t="s">
        <v>52</v>
      </c>
      <c r="I47" s="16" t="s">
        <v>52</v>
      </c>
      <c r="J47" s="8" t="e">
        <f t="shared" si="0"/>
        <v>#VALUE!</v>
      </c>
      <c r="K47" s="13" t="s">
        <v>52</v>
      </c>
      <c r="L47" s="13" t="s">
        <v>52</v>
      </c>
    </row>
    <row r="48" ht="20" customHeight="1" spans="2:12">
      <c r="B48" s="15">
        <v>44</v>
      </c>
      <c r="C48" s="16" t="s">
        <v>52</v>
      </c>
      <c r="D48" s="16" t="s">
        <v>52</v>
      </c>
      <c r="E48" s="16" t="s">
        <v>52</v>
      </c>
      <c r="F48" s="16" t="s">
        <v>52</v>
      </c>
      <c r="G48" s="16" t="s">
        <v>52</v>
      </c>
      <c r="H48" s="16" t="s">
        <v>52</v>
      </c>
      <c r="I48" s="16" t="s">
        <v>52</v>
      </c>
      <c r="J48" s="8" t="e">
        <f t="shared" si="0"/>
        <v>#VALUE!</v>
      </c>
      <c r="K48" s="14" t="s">
        <v>52</v>
      </c>
      <c r="L48" s="14" t="s">
        <v>52</v>
      </c>
    </row>
    <row r="49" ht="20" customHeight="1" spans="2:12">
      <c r="B49" s="15">
        <v>45</v>
      </c>
      <c r="C49" s="16" t="s">
        <v>52</v>
      </c>
      <c r="D49" s="16" t="s">
        <v>52</v>
      </c>
      <c r="E49" s="16" t="s">
        <v>52</v>
      </c>
      <c r="F49" s="16" t="s">
        <v>52</v>
      </c>
      <c r="G49" s="16" t="s">
        <v>52</v>
      </c>
      <c r="H49" s="16" t="s">
        <v>52</v>
      </c>
      <c r="I49" s="16" t="s">
        <v>52</v>
      </c>
      <c r="J49" s="8" t="e">
        <f t="shared" si="0"/>
        <v>#VALUE!</v>
      </c>
      <c r="K49" s="13" t="s">
        <v>52</v>
      </c>
      <c r="L49" s="13" t="s">
        <v>52</v>
      </c>
    </row>
    <row r="50" ht="20" customHeight="1" spans="2:12">
      <c r="B50" s="15">
        <v>46</v>
      </c>
      <c r="C50" s="16" t="s">
        <v>52</v>
      </c>
      <c r="D50" s="16" t="s">
        <v>52</v>
      </c>
      <c r="E50" s="16" t="s">
        <v>52</v>
      </c>
      <c r="F50" s="16" t="s">
        <v>52</v>
      </c>
      <c r="G50" s="16" t="s">
        <v>52</v>
      </c>
      <c r="H50" s="16" t="s">
        <v>52</v>
      </c>
      <c r="I50" s="16" t="s">
        <v>52</v>
      </c>
      <c r="J50" s="8" t="e">
        <f t="shared" si="0"/>
        <v>#VALUE!</v>
      </c>
      <c r="K50" s="14" t="s">
        <v>52</v>
      </c>
      <c r="L50" s="14" t="s">
        <v>52</v>
      </c>
    </row>
    <row r="51" ht="20" customHeight="1" spans="2:12">
      <c r="B51" s="15">
        <v>47</v>
      </c>
      <c r="C51" s="16" t="s">
        <v>52</v>
      </c>
      <c r="D51" s="16" t="s">
        <v>52</v>
      </c>
      <c r="E51" s="16" t="s">
        <v>52</v>
      </c>
      <c r="F51" s="16" t="s">
        <v>52</v>
      </c>
      <c r="G51" s="16" t="s">
        <v>52</v>
      </c>
      <c r="H51" s="16" t="s">
        <v>52</v>
      </c>
      <c r="I51" s="16" t="s">
        <v>52</v>
      </c>
      <c r="J51" s="8" t="e">
        <f t="shared" si="0"/>
        <v>#VALUE!</v>
      </c>
      <c r="K51" s="13" t="s">
        <v>52</v>
      </c>
      <c r="L51" s="13" t="s">
        <v>52</v>
      </c>
    </row>
    <row r="52" ht="20" customHeight="1" spans="2:12">
      <c r="B52" s="15">
        <v>48</v>
      </c>
      <c r="C52" s="16" t="s">
        <v>52</v>
      </c>
      <c r="D52" s="16" t="s">
        <v>52</v>
      </c>
      <c r="E52" s="16" t="s">
        <v>52</v>
      </c>
      <c r="F52" s="16" t="s">
        <v>52</v>
      </c>
      <c r="G52" s="16" t="s">
        <v>52</v>
      </c>
      <c r="H52" s="16" t="s">
        <v>52</v>
      </c>
      <c r="I52" s="16" t="s">
        <v>52</v>
      </c>
      <c r="J52" s="8" t="e">
        <f t="shared" si="0"/>
        <v>#VALUE!</v>
      </c>
      <c r="K52" s="14" t="s">
        <v>52</v>
      </c>
      <c r="L52" s="14" t="s">
        <v>52</v>
      </c>
    </row>
    <row r="53" ht="20" customHeight="1" spans="2:12">
      <c r="B53" s="15">
        <v>49</v>
      </c>
      <c r="C53" s="16" t="s">
        <v>52</v>
      </c>
      <c r="D53" s="16" t="s">
        <v>52</v>
      </c>
      <c r="E53" s="16" t="s">
        <v>52</v>
      </c>
      <c r="F53" s="16" t="s">
        <v>52</v>
      </c>
      <c r="G53" s="16" t="s">
        <v>52</v>
      </c>
      <c r="H53" s="16" t="s">
        <v>52</v>
      </c>
      <c r="I53" s="16" t="s">
        <v>52</v>
      </c>
      <c r="J53" s="8" t="e">
        <f t="shared" si="0"/>
        <v>#VALUE!</v>
      </c>
      <c r="K53" s="13" t="s">
        <v>52</v>
      </c>
      <c r="L53" s="13" t="s">
        <v>52</v>
      </c>
    </row>
    <row r="54" ht="20" customHeight="1" spans="2:12">
      <c r="B54" s="15">
        <v>50</v>
      </c>
      <c r="C54" s="16" t="s">
        <v>52</v>
      </c>
      <c r="D54" s="16" t="s">
        <v>52</v>
      </c>
      <c r="E54" s="16" t="s">
        <v>52</v>
      </c>
      <c r="F54" s="16" t="s">
        <v>52</v>
      </c>
      <c r="G54" s="16" t="s">
        <v>52</v>
      </c>
      <c r="H54" s="16" t="s">
        <v>52</v>
      </c>
      <c r="I54" s="16" t="s">
        <v>52</v>
      </c>
      <c r="J54" s="8" t="e">
        <f t="shared" si="0"/>
        <v>#VALUE!</v>
      </c>
      <c r="K54" s="14" t="s">
        <v>52</v>
      </c>
      <c r="L54" s="14" t="s">
        <v>52</v>
      </c>
    </row>
    <row r="55" ht="20" customHeight="1" spans="2:12">
      <c r="B55" s="15">
        <v>51</v>
      </c>
      <c r="C55" s="16" t="s">
        <v>52</v>
      </c>
      <c r="D55" s="16" t="s">
        <v>52</v>
      </c>
      <c r="E55" s="16" t="s">
        <v>52</v>
      </c>
      <c r="F55" s="16" t="s">
        <v>52</v>
      </c>
      <c r="G55" s="16" t="s">
        <v>52</v>
      </c>
      <c r="H55" s="16" t="s">
        <v>52</v>
      </c>
      <c r="I55" s="16" t="s">
        <v>52</v>
      </c>
      <c r="J55" s="8" t="e">
        <f t="shared" si="0"/>
        <v>#VALUE!</v>
      </c>
      <c r="K55" s="13" t="s">
        <v>52</v>
      </c>
      <c r="L55" s="13" t="s">
        <v>52</v>
      </c>
    </row>
    <row r="56" ht="20" customHeight="1" spans="2:12">
      <c r="B56" s="15">
        <v>52</v>
      </c>
      <c r="C56" s="16" t="s">
        <v>52</v>
      </c>
      <c r="D56" s="16" t="s">
        <v>52</v>
      </c>
      <c r="E56" s="16" t="s">
        <v>52</v>
      </c>
      <c r="F56" s="16" t="s">
        <v>52</v>
      </c>
      <c r="G56" s="16" t="s">
        <v>52</v>
      </c>
      <c r="H56" s="16" t="s">
        <v>52</v>
      </c>
      <c r="I56" s="16" t="s">
        <v>52</v>
      </c>
      <c r="J56" s="8" t="e">
        <f t="shared" si="0"/>
        <v>#VALUE!</v>
      </c>
      <c r="K56" s="14" t="s">
        <v>52</v>
      </c>
      <c r="L56" s="14" t="s">
        <v>52</v>
      </c>
    </row>
    <row r="57" ht="20" customHeight="1" spans="2:12">
      <c r="B57" s="15">
        <v>53</v>
      </c>
      <c r="C57" s="16" t="s">
        <v>52</v>
      </c>
      <c r="D57" s="16" t="s">
        <v>52</v>
      </c>
      <c r="E57" s="16" t="s">
        <v>52</v>
      </c>
      <c r="F57" s="16" t="s">
        <v>52</v>
      </c>
      <c r="G57" s="16" t="s">
        <v>52</v>
      </c>
      <c r="H57" s="16" t="s">
        <v>52</v>
      </c>
      <c r="I57" s="16" t="s">
        <v>52</v>
      </c>
      <c r="J57" s="8" t="e">
        <f t="shared" si="0"/>
        <v>#VALUE!</v>
      </c>
      <c r="K57" s="13" t="s">
        <v>52</v>
      </c>
      <c r="L57" s="13" t="s">
        <v>52</v>
      </c>
    </row>
  </sheetData>
  <mergeCells count="3">
    <mergeCell ref="B1:K1"/>
    <mergeCell ref="B2:K2"/>
    <mergeCell ref="B3:K3"/>
  </mergeCells>
  <dataValidations count="2">
    <dataValidation type="list" allowBlank="1" sqref="F5:F57">
      <formula1>"集合,函数,导数,三角函数,数列,向量,解析几何,立体几何,概率统计,其他"</formula1>
    </dataValidation>
    <dataValidation type="list" allowBlank="1" sqref="K5:K57">
      <formula1>"已批改,未批改"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57"/>
  <sheetViews>
    <sheetView showGridLines="0" workbookViewId="0">
      <selection activeCell="A1" sqref="A1"/>
    </sheetView>
  </sheetViews>
  <sheetFormatPr defaultColWidth="9" defaultRowHeight="16.8"/>
  <cols>
    <col min="1" max="1" width="4" customWidth="1"/>
    <col min="2" max="2" width="8" customWidth="1"/>
    <col min="3" max="4" width="14" customWidth="1"/>
    <col min="5" max="5" width="10" customWidth="1"/>
    <col min="6" max="6" width="18" customWidth="1"/>
    <col min="7" max="8" width="12" customWidth="1"/>
    <col min="9" max="9" width="10" customWidth="1"/>
    <col min="10" max="10" width="28" customWidth="1"/>
  </cols>
  <sheetData>
    <row r="1" ht="36" customHeight="1" spans="2:11">
      <c r="B1" s="1" t="s">
        <v>81</v>
      </c>
    </row>
    <row r="2" ht="20" customHeight="1" spans="2:11">
      <c r="B2" s="2" t="s">
        <v>82</v>
      </c>
    </row>
    <row r="3" ht="18" customHeight="1" spans="2:11">
      <c r="B3" s="12" t="s">
        <v>83</v>
      </c>
    </row>
    <row r="4" ht="22" customHeight="1" spans="2:11">
      <c r="B4" s="9" t="s">
        <v>30</v>
      </c>
      <c r="C4" s="9" t="s">
        <v>84</v>
      </c>
      <c r="D4" s="9" t="s">
        <v>32</v>
      </c>
      <c r="E4" s="9" t="s">
        <v>63</v>
      </c>
      <c r="F4" s="9" t="s">
        <v>85</v>
      </c>
      <c r="G4" s="9" t="s">
        <v>86</v>
      </c>
      <c r="H4" s="9" t="s">
        <v>87</v>
      </c>
      <c r="I4" s="9" t="s">
        <v>88</v>
      </c>
      <c r="J4" s="9" t="s">
        <v>89</v>
      </c>
      <c r="K4" s="9" t="s">
        <v>90</v>
      </c>
    </row>
    <row r="5" ht="20" customHeight="1" spans="2:11">
      <c r="B5" s="13">
        <v>1</v>
      </c>
      <c r="C5" s="13" t="s">
        <v>71</v>
      </c>
      <c r="D5" s="13" t="s">
        <v>41</v>
      </c>
      <c r="E5" s="13" t="s">
        <v>72</v>
      </c>
      <c r="F5" s="13">
        <v>90</v>
      </c>
      <c r="G5" s="13" t="s">
        <v>91</v>
      </c>
      <c r="H5" s="13" t="s">
        <v>92</v>
      </c>
      <c r="I5" s="13" t="s">
        <v>93</v>
      </c>
      <c r="J5" s="13" t="s">
        <v>94</v>
      </c>
      <c r="K5" s="13" t="s">
        <v>95</v>
      </c>
    </row>
    <row r="6" ht="20" customHeight="1" spans="2:11">
      <c r="B6" s="14">
        <v>2</v>
      </c>
      <c r="C6" s="14" t="s">
        <v>76</v>
      </c>
      <c r="D6" s="14" t="s">
        <v>47</v>
      </c>
      <c r="E6" s="14" t="s">
        <v>72</v>
      </c>
      <c r="F6" s="14">
        <v>90</v>
      </c>
      <c r="G6" s="14" t="s">
        <v>96</v>
      </c>
      <c r="H6" s="14" t="s">
        <v>97</v>
      </c>
      <c r="I6" s="14" t="s">
        <v>98</v>
      </c>
      <c r="J6" s="14" t="s">
        <v>99</v>
      </c>
      <c r="K6" s="14" t="s">
        <v>100</v>
      </c>
    </row>
    <row r="7" ht="20" customHeight="1" spans="2:11">
      <c r="B7" s="13">
        <v>3</v>
      </c>
      <c r="C7" s="13" t="s">
        <v>79</v>
      </c>
      <c r="D7" s="13" t="s">
        <v>54</v>
      </c>
      <c r="E7" s="13" t="s">
        <v>72</v>
      </c>
      <c r="F7" s="13">
        <v>90</v>
      </c>
      <c r="G7" s="13" t="s">
        <v>101</v>
      </c>
      <c r="H7" s="13" t="s">
        <v>92</v>
      </c>
      <c r="I7" s="13" t="s">
        <v>93</v>
      </c>
      <c r="J7" s="13" t="s">
        <v>102</v>
      </c>
      <c r="K7" s="13" t="s">
        <v>52</v>
      </c>
    </row>
    <row r="8" ht="20" customHeight="1" spans="2:11">
      <c r="B8" s="15">
        <v>4</v>
      </c>
      <c r="C8" s="16" t="s">
        <v>52</v>
      </c>
      <c r="D8" s="16" t="s">
        <v>52</v>
      </c>
      <c r="E8" s="16" t="s">
        <v>52</v>
      </c>
      <c r="F8" s="16" t="s">
        <v>52</v>
      </c>
      <c r="G8" s="16" t="s">
        <v>52</v>
      </c>
      <c r="H8" s="16" t="s">
        <v>52</v>
      </c>
      <c r="I8" s="14" t="s">
        <v>52</v>
      </c>
      <c r="J8" s="14" t="s">
        <v>52</v>
      </c>
      <c r="K8" s="14" t="s">
        <v>52</v>
      </c>
    </row>
    <row r="9" ht="20" customHeight="1" spans="2:11">
      <c r="B9" s="15">
        <v>5</v>
      </c>
      <c r="C9" s="16" t="s">
        <v>52</v>
      </c>
      <c r="D9" s="16" t="s">
        <v>52</v>
      </c>
      <c r="E9" s="16" t="s">
        <v>52</v>
      </c>
      <c r="F9" s="16" t="s">
        <v>52</v>
      </c>
      <c r="G9" s="16" t="s">
        <v>52</v>
      </c>
      <c r="H9" s="16" t="s">
        <v>52</v>
      </c>
      <c r="I9" s="13" t="s">
        <v>52</v>
      </c>
      <c r="J9" s="13" t="s">
        <v>52</v>
      </c>
      <c r="K9" s="13" t="s">
        <v>52</v>
      </c>
    </row>
    <row r="10" ht="20" customHeight="1" spans="2:11">
      <c r="B10" s="15">
        <v>6</v>
      </c>
      <c r="C10" s="16" t="s">
        <v>52</v>
      </c>
      <c r="D10" s="16" t="s">
        <v>52</v>
      </c>
      <c r="E10" s="16" t="s">
        <v>52</v>
      </c>
      <c r="F10" s="16" t="s">
        <v>52</v>
      </c>
      <c r="G10" s="16" t="s">
        <v>52</v>
      </c>
      <c r="H10" s="16" t="s">
        <v>52</v>
      </c>
      <c r="I10" s="14" t="s">
        <v>52</v>
      </c>
      <c r="J10" s="14" t="s">
        <v>52</v>
      </c>
      <c r="K10" s="14" t="s">
        <v>52</v>
      </c>
    </row>
    <row r="11" ht="20" customHeight="1" spans="2:11">
      <c r="B11" s="15">
        <v>7</v>
      </c>
      <c r="C11" s="16" t="s">
        <v>52</v>
      </c>
      <c r="D11" s="16" t="s">
        <v>52</v>
      </c>
      <c r="E11" s="16" t="s">
        <v>52</v>
      </c>
      <c r="F11" s="16" t="s">
        <v>52</v>
      </c>
      <c r="G11" s="16" t="s">
        <v>52</v>
      </c>
      <c r="H11" s="16" t="s">
        <v>52</v>
      </c>
      <c r="I11" s="13" t="s">
        <v>52</v>
      </c>
      <c r="J11" s="13" t="s">
        <v>52</v>
      </c>
      <c r="K11" s="13" t="s">
        <v>52</v>
      </c>
    </row>
    <row r="12" ht="20" customHeight="1" spans="2:11">
      <c r="B12" s="15">
        <v>8</v>
      </c>
      <c r="C12" s="16" t="s">
        <v>52</v>
      </c>
      <c r="D12" s="16" t="s">
        <v>52</v>
      </c>
      <c r="E12" s="16" t="s">
        <v>52</v>
      </c>
      <c r="F12" s="16" t="s">
        <v>52</v>
      </c>
      <c r="G12" s="16" t="s">
        <v>52</v>
      </c>
      <c r="H12" s="16" t="s">
        <v>52</v>
      </c>
      <c r="I12" s="14" t="s">
        <v>52</v>
      </c>
      <c r="J12" s="14" t="s">
        <v>52</v>
      </c>
      <c r="K12" s="14" t="s">
        <v>52</v>
      </c>
    </row>
    <row r="13" ht="20" customHeight="1" spans="2:11">
      <c r="B13" s="15">
        <v>9</v>
      </c>
      <c r="C13" s="16" t="s">
        <v>52</v>
      </c>
      <c r="D13" s="16" t="s">
        <v>52</v>
      </c>
      <c r="E13" s="16" t="s">
        <v>52</v>
      </c>
      <c r="F13" s="16" t="s">
        <v>52</v>
      </c>
      <c r="G13" s="16" t="s">
        <v>52</v>
      </c>
      <c r="H13" s="16" t="s">
        <v>52</v>
      </c>
      <c r="I13" s="13" t="s">
        <v>52</v>
      </c>
      <c r="J13" s="13" t="s">
        <v>52</v>
      </c>
      <c r="K13" s="13" t="s">
        <v>52</v>
      </c>
    </row>
    <row r="14" ht="20" customHeight="1" spans="2:11">
      <c r="B14" s="15">
        <v>10</v>
      </c>
      <c r="C14" s="16" t="s">
        <v>52</v>
      </c>
      <c r="D14" s="16" t="s">
        <v>52</v>
      </c>
      <c r="E14" s="16" t="s">
        <v>52</v>
      </c>
      <c r="F14" s="16" t="s">
        <v>52</v>
      </c>
      <c r="G14" s="16" t="s">
        <v>52</v>
      </c>
      <c r="H14" s="16" t="s">
        <v>52</v>
      </c>
      <c r="I14" s="14" t="s">
        <v>52</v>
      </c>
      <c r="J14" s="14" t="s">
        <v>52</v>
      </c>
      <c r="K14" s="14" t="s">
        <v>52</v>
      </c>
    </row>
    <row r="15" ht="20" customHeight="1" spans="2:11">
      <c r="B15" s="15">
        <v>11</v>
      </c>
      <c r="C15" s="16" t="s">
        <v>52</v>
      </c>
      <c r="D15" s="16" t="s">
        <v>52</v>
      </c>
      <c r="E15" s="16" t="s">
        <v>52</v>
      </c>
      <c r="F15" s="16" t="s">
        <v>52</v>
      </c>
      <c r="G15" s="16" t="s">
        <v>52</v>
      </c>
      <c r="H15" s="16" t="s">
        <v>52</v>
      </c>
      <c r="I15" s="13" t="s">
        <v>52</v>
      </c>
      <c r="J15" s="13" t="s">
        <v>52</v>
      </c>
      <c r="K15" s="13" t="s">
        <v>52</v>
      </c>
    </row>
    <row r="16" ht="20" customHeight="1" spans="2:11">
      <c r="B16" s="15">
        <v>12</v>
      </c>
      <c r="C16" s="16" t="s">
        <v>52</v>
      </c>
      <c r="D16" s="16" t="s">
        <v>52</v>
      </c>
      <c r="E16" s="16" t="s">
        <v>52</v>
      </c>
      <c r="F16" s="16" t="s">
        <v>52</v>
      </c>
      <c r="G16" s="16" t="s">
        <v>52</v>
      </c>
      <c r="H16" s="16" t="s">
        <v>52</v>
      </c>
      <c r="I16" s="14" t="s">
        <v>52</v>
      </c>
      <c r="J16" s="14" t="s">
        <v>52</v>
      </c>
      <c r="K16" s="14" t="s">
        <v>52</v>
      </c>
    </row>
    <row r="17" ht="20" customHeight="1" spans="2:11">
      <c r="B17" s="15">
        <v>13</v>
      </c>
      <c r="C17" s="16" t="s">
        <v>52</v>
      </c>
      <c r="D17" s="16" t="s">
        <v>52</v>
      </c>
      <c r="E17" s="16" t="s">
        <v>52</v>
      </c>
      <c r="F17" s="16" t="s">
        <v>52</v>
      </c>
      <c r="G17" s="16" t="s">
        <v>52</v>
      </c>
      <c r="H17" s="16" t="s">
        <v>52</v>
      </c>
      <c r="I17" s="13" t="s">
        <v>52</v>
      </c>
      <c r="J17" s="13" t="s">
        <v>52</v>
      </c>
      <c r="K17" s="13" t="s">
        <v>52</v>
      </c>
    </row>
    <row r="18" ht="20" customHeight="1" spans="2:11">
      <c r="B18" s="15">
        <v>14</v>
      </c>
      <c r="C18" s="16" t="s">
        <v>52</v>
      </c>
      <c r="D18" s="16" t="s">
        <v>52</v>
      </c>
      <c r="E18" s="16" t="s">
        <v>52</v>
      </c>
      <c r="F18" s="16" t="s">
        <v>52</v>
      </c>
      <c r="G18" s="16" t="s">
        <v>52</v>
      </c>
      <c r="H18" s="16" t="s">
        <v>52</v>
      </c>
      <c r="I18" s="14" t="s">
        <v>52</v>
      </c>
      <c r="J18" s="14" t="s">
        <v>52</v>
      </c>
      <c r="K18" s="14" t="s">
        <v>52</v>
      </c>
    </row>
    <row r="19" ht="20" customHeight="1" spans="2:11">
      <c r="B19" s="15">
        <v>15</v>
      </c>
      <c r="C19" s="16" t="s">
        <v>52</v>
      </c>
      <c r="D19" s="16" t="s">
        <v>52</v>
      </c>
      <c r="E19" s="16" t="s">
        <v>52</v>
      </c>
      <c r="F19" s="16" t="s">
        <v>52</v>
      </c>
      <c r="G19" s="16" t="s">
        <v>52</v>
      </c>
      <c r="H19" s="16" t="s">
        <v>52</v>
      </c>
      <c r="I19" s="13" t="s">
        <v>52</v>
      </c>
      <c r="J19" s="13" t="s">
        <v>52</v>
      </c>
      <c r="K19" s="13" t="s">
        <v>52</v>
      </c>
    </row>
    <row r="20" ht="20" customHeight="1" spans="2:11">
      <c r="B20" s="15">
        <v>16</v>
      </c>
      <c r="C20" s="16" t="s">
        <v>52</v>
      </c>
      <c r="D20" s="16" t="s">
        <v>52</v>
      </c>
      <c r="E20" s="16" t="s">
        <v>52</v>
      </c>
      <c r="F20" s="16" t="s">
        <v>52</v>
      </c>
      <c r="G20" s="16" t="s">
        <v>52</v>
      </c>
      <c r="H20" s="16" t="s">
        <v>52</v>
      </c>
      <c r="I20" s="14" t="s">
        <v>52</v>
      </c>
      <c r="J20" s="14" t="s">
        <v>52</v>
      </c>
      <c r="K20" s="14" t="s">
        <v>52</v>
      </c>
    </row>
    <row r="21" ht="20" customHeight="1" spans="2:11">
      <c r="B21" s="15">
        <v>17</v>
      </c>
      <c r="C21" s="16" t="s">
        <v>52</v>
      </c>
      <c r="D21" s="16" t="s">
        <v>52</v>
      </c>
      <c r="E21" s="16" t="s">
        <v>52</v>
      </c>
      <c r="F21" s="16" t="s">
        <v>52</v>
      </c>
      <c r="G21" s="16" t="s">
        <v>52</v>
      </c>
      <c r="H21" s="16" t="s">
        <v>52</v>
      </c>
      <c r="I21" s="13" t="s">
        <v>52</v>
      </c>
      <c r="J21" s="13" t="s">
        <v>52</v>
      </c>
      <c r="K21" s="13" t="s">
        <v>52</v>
      </c>
    </row>
    <row r="22" ht="20" customHeight="1" spans="2:11">
      <c r="B22" s="15">
        <v>18</v>
      </c>
      <c r="C22" s="16" t="s">
        <v>52</v>
      </c>
      <c r="D22" s="16" t="s">
        <v>52</v>
      </c>
      <c r="E22" s="16" t="s">
        <v>52</v>
      </c>
      <c r="F22" s="16" t="s">
        <v>52</v>
      </c>
      <c r="G22" s="16" t="s">
        <v>52</v>
      </c>
      <c r="H22" s="16" t="s">
        <v>52</v>
      </c>
      <c r="I22" s="14" t="s">
        <v>52</v>
      </c>
      <c r="J22" s="14" t="s">
        <v>52</v>
      </c>
      <c r="K22" s="14" t="s">
        <v>52</v>
      </c>
    </row>
    <row r="23" ht="20" customHeight="1" spans="2:11">
      <c r="B23" s="15">
        <v>19</v>
      </c>
      <c r="C23" s="16" t="s">
        <v>52</v>
      </c>
      <c r="D23" s="16" t="s">
        <v>52</v>
      </c>
      <c r="E23" s="16" t="s">
        <v>52</v>
      </c>
      <c r="F23" s="16" t="s">
        <v>52</v>
      </c>
      <c r="G23" s="16" t="s">
        <v>52</v>
      </c>
      <c r="H23" s="16" t="s">
        <v>52</v>
      </c>
      <c r="I23" s="13" t="s">
        <v>52</v>
      </c>
      <c r="J23" s="13" t="s">
        <v>52</v>
      </c>
      <c r="K23" s="13" t="s">
        <v>52</v>
      </c>
    </row>
    <row r="24" ht="20" customHeight="1" spans="2:11">
      <c r="B24" s="15">
        <v>20</v>
      </c>
      <c r="C24" s="16" t="s">
        <v>52</v>
      </c>
      <c r="D24" s="16" t="s">
        <v>52</v>
      </c>
      <c r="E24" s="16" t="s">
        <v>52</v>
      </c>
      <c r="F24" s="16" t="s">
        <v>52</v>
      </c>
      <c r="G24" s="16" t="s">
        <v>52</v>
      </c>
      <c r="H24" s="16" t="s">
        <v>52</v>
      </c>
      <c r="I24" s="14" t="s">
        <v>52</v>
      </c>
      <c r="J24" s="14" t="s">
        <v>52</v>
      </c>
      <c r="K24" s="14" t="s">
        <v>52</v>
      </c>
    </row>
    <row r="25" ht="20" customHeight="1" spans="2:11">
      <c r="B25" s="15">
        <v>21</v>
      </c>
      <c r="C25" s="16" t="s">
        <v>52</v>
      </c>
      <c r="D25" s="16" t="s">
        <v>52</v>
      </c>
      <c r="E25" s="16" t="s">
        <v>52</v>
      </c>
      <c r="F25" s="16" t="s">
        <v>52</v>
      </c>
      <c r="G25" s="16" t="s">
        <v>52</v>
      </c>
      <c r="H25" s="16" t="s">
        <v>52</v>
      </c>
      <c r="I25" s="13" t="s">
        <v>52</v>
      </c>
      <c r="J25" s="13" t="s">
        <v>52</v>
      </c>
      <c r="K25" s="13" t="s">
        <v>52</v>
      </c>
    </row>
    <row r="26" ht="20" customHeight="1" spans="2:11">
      <c r="B26" s="15">
        <v>22</v>
      </c>
      <c r="C26" s="16" t="s">
        <v>52</v>
      </c>
      <c r="D26" s="16" t="s">
        <v>52</v>
      </c>
      <c r="E26" s="16" t="s">
        <v>52</v>
      </c>
      <c r="F26" s="16" t="s">
        <v>52</v>
      </c>
      <c r="G26" s="16" t="s">
        <v>52</v>
      </c>
      <c r="H26" s="16" t="s">
        <v>52</v>
      </c>
      <c r="I26" s="14" t="s">
        <v>52</v>
      </c>
      <c r="J26" s="14" t="s">
        <v>52</v>
      </c>
      <c r="K26" s="14" t="s">
        <v>52</v>
      </c>
    </row>
    <row r="27" ht="20" customHeight="1" spans="2:11">
      <c r="B27" s="15">
        <v>23</v>
      </c>
      <c r="C27" s="16" t="s">
        <v>52</v>
      </c>
      <c r="D27" s="16" t="s">
        <v>52</v>
      </c>
      <c r="E27" s="16" t="s">
        <v>52</v>
      </c>
      <c r="F27" s="16" t="s">
        <v>52</v>
      </c>
      <c r="G27" s="16" t="s">
        <v>52</v>
      </c>
      <c r="H27" s="16" t="s">
        <v>52</v>
      </c>
      <c r="I27" s="13" t="s">
        <v>52</v>
      </c>
      <c r="J27" s="13" t="s">
        <v>52</v>
      </c>
      <c r="K27" s="13" t="s">
        <v>52</v>
      </c>
    </row>
    <row r="28" ht="20" customHeight="1" spans="2:11">
      <c r="B28" s="15">
        <v>24</v>
      </c>
      <c r="C28" s="16" t="s">
        <v>52</v>
      </c>
      <c r="D28" s="16" t="s">
        <v>52</v>
      </c>
      <c r="E28" s="16" t="s">
        <v>52</v>
      </c>
      <c r="F28" s="16" t="s">
        <v>52</v>
      </c>
      <c r="G28" s="16" t="s">
        <v>52</v>
      </c>
      <c r="H28" s="16" t="s">
        <v>52</v>
      </c>
      <c r="I28" s="14" t="s">
        <v>52</v>
      </c>
      <c r="J28" s="14" t="s">
        <v>52</v>
      </c>
      <c r="K28" s="14" t="s">
        <v>52</v>
      </c>
    </row>
    <row r="29" ht="20" customHeight="1" spans="2:11">
      <c r="B29" s="15">
        <v>25</v>
      </c>
      <c r="C29" s="16" t="s">
        <v>52</v>
      </c>
      <c r="D29" s="16" t="s">
        <v>52</v>
      </c>
      <c r="E29" s="16" t="s">
        <v>52</v>
      </c>
      <c r="F29" s="16" t="s">
        <v>52</v>
      </c>
      <c r="G29" s="16" t="s">
        <v>52</v>
      </c>
      <c r="H29" s="16" t="s">
        <v>52</v>
      </c>
      <c r="I29" s="13" t="s">
        <v>52</v>
      </c>
      <c r="J29" s="13" t="s">
        <v>52</v>
      </c>
      <c r="K29" s="13" t="s">
        <v>52</v>
      </c>
    </row>
    <row r="30" ht="20" customHeight="1" spans="2:11">
      <c r="B30" s="15">
        <v>26</v>
      </c>
      <c r="C30" s="16" t="s">
        <v>52</v>
      </c>
      <c r="D30" s="16" t="s">
        <v>52</v>
      </c>
      <c r="E30" s="16" t="s">
        <v>52</v>
      </c>
      <c r="F30" s="16" t="s">
        <v>52</v>
      </c>
      <c r="G30" s="16" t="s">
        <v>52</v>
      </c>
      <c r="H30" s="16" t="s">
        <v>52</v>
      </c>
      <c r="I30" s="14" t="s">
        <v>52</v>
      </c>
      <c r="J30" s="14" t="s">
        <v>52</v>
      </c>
      <c r="K30" s="14" t="s">
        <v>52</v>
      </c>
    </row>
    <row r="31" ht="20" customHeight="1" spans="2:11">
      <c r="B31" s="15">
        <v>27</v>
      </c>
      <c r="C31" s="16" t="s">
        <v>52</v>
      </c>
      <c r="D31" s="16" t="s">
        <v>52</v>
      </c>
      <c r="E31" s="16" t="s">
        <v>52</v>
      </c>
      <c r="F31" s="16" t="s">
        <v>52</v>
      </c>
      <c r="G31" s="16" t="s">
        <v>52</v>
      </c>
      <c r="H31" s="16" t="s">
        <v>52</v>
      </c>
      <c r="I31" s="13" t="s">
        <v>52</v>
      </c>
      <c r="J31" s="13" t="s">
        <v>52</v>
      </c>
      <c r="K31" s="13" t="s">
        <v>52</v>
      </c>
    </row>
    <row r="32" ht="20" customHeight="1" spans="2:11">
      <c r="B32" s="15">
        <v>28</v>
      </c>
      <c r="C32" s="16" t="s">
        <v>52</v>
      </c>
      <c r="D32" s="16" t="s">
        <v>52</v>
      </c>
      <c r="E32" s="16" t="s">
        <v>52</v>
      </c>
      <c r="F32" s="16" t="s">
        <v>52</v>
      </c>
      <c r="G32" s="16" t="s">
        <v>52</v>
      </c>
      <c r="H32" s="16" t="s">
        <v>52</v>
      </c>
      <c r="I32" s="14" t="s">
        <v>52</v>
      </c>
      <c r="J32" s="14" t="s">
        <v>52</v>
      </c>
      <c r="K32" s="14" t="s">
        <v>52</v>
      </c>
    </row>
    <row r="33" ht="20" customHeight="1" spans="2:11">
      <c r="B33" s="15">
        <v>29</v>
      </c>
      <c r="C33" s="16" t="s">
        <v>52</v>
      </c>
      <c r="D33" s="16" t="s">
        <v>52</v>
      </c>
      <c r="E33" s="16" t="s">
        <v>52</v>
      </c>
      <c r="F33" s="16" t="s">
        <v>52</v>
      </c>
      <c r="G33" s="16" t="s">
        <v>52</v>
      </c>
      <c r="H33" s="16" t="s">
        <v>52</v>
      </c>
      <c r="I33" s="13" t="s">
        <v>52</v>
      </c>
      <c r="J33" s="13" t="s">
        <v>52</v>
      </c>
      <c r="K33" s="13" t="s">
        <v>52</v>
      </c>
    </row>
    <row r="34" ht="20" customHeight="1" spans="2:11">
      <c r="B34" s="15">
        <v>30</v>
      </c>
      <c r="C34" s="16" t="s">
        <v>52</v>
      </c>
      <c r="D34" s="16" t="s">
        <v>52</v>
      </c>
      <c r="E34" s="16" t="s">
        <v>52</v>
      </c>
      <c r="F34" s="16" t="s">
        <v>52</v>
      </c>
      <c r="G34" s="16" t="s">
        <v>52</v>
      </c>
      <c r="H34" s="16" t="s">
        <v>52</v>
      </c>
      <c r="I34" s="14" t="s">
        <v>52</v>
      </c>
      <c r="J34" s="14" t="s">
        <v>52</v>
      </c>
      <c r="K34" s="14" t="s">
        <v>52</v>
      </c>
    </row>
    <row r="35" ht="20" customHeight="1" spans="2:11">
      <c r="B35" s="15">
        <v>31</v>
      </c>
      <c r="C35" s="16" t="s">
        <v>52</v>
      </c>
      <c r="D35" s="16" t="s">
        <v>52</v>
      </c>
      <c r="E35" s="16" t="s">
        <v>52</v>
      </c>
      <c r="F35" s="16" t="s">
        <v>52</v>
      </c>
      <c r="G35" s="16" t="s">
        <v>52</v>
      </c>
      <c r="H35" s="16" t="s">
        <v>52</v>
      </c>
      <c r="I35" s="13" t="s">
        <v>52</v>
      </c>
      <c r="J35" s="13" t="s">
        <v>52</v>
      </c>
      <c r="K35" s="13" t="s">
        <v>52</v>
      </c>
    </row>
    <row r="36" ht="20" customHeight="1" spans="2:11">
      <c r="B36" s="15">
        <v>32</v>
      </c>
      <c r="C36" s="16" t="s">
        <v>52</v>
      </c>
      <c r="D36" s="16" t="s">
        <v>52</v>
      </c>
      <c r="E36" s="16" t="s">
        <v>52</v>
      </c>
      <c r="F36" s="16" t="s">
        <v>52</v>
      </c>
      <c r="G36" s="16" t="s">
        <v>52</v>
      </c>
      <c r="H36" s="16" t="s">
        <v>52</v>
      </c>
      <c r="I36" s="14" t="s">
        <v>52</v>
      </c>
      <c r="J36" s="14" t="s">
        <v>52</v>
      </c>
      <c r="K36" s="14" t="s">
        <v>52</v>
      </c>
    </row>
    <row r="37" ht="20" customHeight="1" spans="2:11">
      <c r="B37" s="15">
        <v>33</v>
      </c>
      <c r="C37" s="16" t="s">
        <v>52</v>
      </c>
      <c r="D37" s="16" t="s">
        <v>52</v>
      </c>
      <c r="E37" s="16" t="s">
        <v>52</v>
      </c>
      <c r="F37" s="16" t="s">
        <v>52</v>
      </c>
      <c r="G37" s="16" t="s">
        <v>52</v>
      </c>
      <c r="H37" s="16" t="s">
        <v>52</v>
      </c>
      <c r="I37" s="13" t="s">
        <v>52</v>
      </c>
      <c r="J37" s="13" t="s">
        <v>52</v>
      </c>
      <c r="K37" s="13" t="s">
        <v>52</v>
      </c>
    </row>
    <row r="38" ht="20" customHeight="1" spans="2:11">
      <c r="B38" s="15">
        <v>34</v>
      </c>
      <c r="C38" s="16" t="s">
        <v>52</v>
      </c>
      <c r="D38" s="16" t="s">
        <v>52</v>
      </c>
      <c r="E38" s="16" t="s">
        <v>52</v>
      </c>
      <c r="F38" s="16" t="s">
        <v>52</v>
      </c>
      <c r="G38" s="16" t="s">
        <v>52</v>
      </c>
      <c r="H38" s="16" t="s">
        <v>52</v>
      </c>
      <c r="I38" s="14" t="s">
        <v>52</v>
      </c>
      <c r="J38" s="14" t="s">
        <v>52</v>
      </c>
      <c r="K38" s="14" t="s">
        <v>52</v>
      </c>
    </row>
    <row r="39" ht="20" customHeight="1" spans="2:11">
      <c r="B39" s="15">
        <v>35</v>
      </c>
      <c r="C39" s="16" t="s">
        <v>52</v>
      </c>
      <c r="D39" s="16" t="s">
        <v>52</v>
      </c>
      <c r="E39" s="16" t="s">
        <v>52</v>
      </c>
      <c r="F39" s="16" t="s">
        <v>52</v>
      </c>
      <c r="G39" s="16" t="s">
        <v>52</v>
      </c>
      <c r="H39" s="16" t="s">
        <v>52</v>
      </c>
      <c r="I39" s="13" t="s">
        <v>52</v>
      </c>
      <c r="J39" s="13" t="s">
        <v>52</v>
      </c>
      <c r="K39" s="13" t="s">
        <v>52</v>
      </c>
    </row>
    <row r="40" ht="20" customHeight="1" spans="2:11">
      <c r="B40" s="15">
        <v>36</v>
      </c>
      <c r="C40" s="16" t="s">
        <v>52</v>
      </c>
      <c r="D40" s="16" t="s">
        <v>52</v>
      </c>
      <c r="E40" s="16" t="s">
        <v>52</v>
      </c>
      <c r="F40" s="16" t="s">
        <v>52</v>
      </c>
      <c r="G40" s="16" t="s">
        <v>52</v>
      </c>
      <c r="H40" s="16" t="s">
        <v>52</v>
      </c>
      <c r="I40" s="14" t="s">
        <v>52</v>
      </c>
      <c r="J40" s="14" t="s">
        <v>52</v>
      </c>
      <c r="K40" s="14" t="s">
        <v>52</v>
      </c>
    </row>
    <row r="41" ht="20" customHeight="1" spans="2:11">
      <c r="B41" s="15">
        <v>37</v>
      </c>
      <c r="C41" s="16" t="s">
        <v>52</v>
      </c>
      <c r="D41" s="16" t="s">
        <v>52</v>
      </c>
      <c r="E41" s="16" t="s">
        <v>52</v>
      </c>
      <c r="F41" s="16" t="s">
        <v>52</v>
      </c>
      <c r="G41" s="16" t="s">
        <v>52</v>
      </c>
      <c r="H41" s="16" t="s">
        <v>52</v>
      </c>
      <c r="I41" s="13" t="s">
        <v>52</v>
      </c>
      <c r="J41" s="13" t="s">
        <v>52</v>
      </c>
      <c r="K41" s="13" t="s">
        <v>52</v>
      </c>
    </row>
    <row r="42" ht="20" customHeight="1" spans="2:11">
      <c r="B42" s="15">
        <v>38</v>
      </c>
      <c r="C42" s="16" t="s">
        <v>52</v>
      </c>
      <c r="D42" s="16" t="s">
        <v>52</v>
      </c>
      <c r="E42" s="16" t="s">
        <v>52</v>
      </c>
      <c r="F42" s="16" t="s">
        <v>52</v>
      </c>
      <c r="G42" s="16" t="s">
        <v>52</v>
      </c>
      <c r="H42" s="16" t="s">
        <v>52</v>
      </c>
      <c r="I42" s="14" t="s">
        <v>52</v>
      </c>
      <c r="J42" s="14" t="s">
        <v>52</v>
      </c>
      <c r="K42" s="14" t="s">
        <v>52</v>
      </c>
    </row>
    <row r="43" ht="20" customHeight="1" spans="2:11">
      <c r="B43" s="15">
        <v>39</v>
      </c>
      <c r="C43" s="16" t="s">
        <v>52</v>
      </c>
      <c r="D43" s="16" t="s">
        <v>52</v>
      </c>
      <c r="E43" s="16" t="s">
        <v>52</v>
      </c>
      <c r="F43" s="16" t="s">
        <v>52</v>
      </c>
      <c r="G43" s="16" t="s">
        <v>52</v>
      </c>
      <c r="H43" s="16" t="s">
        <v>52</v>
      </c>
      <c r="I43" s="13" t="s">
        <v>52</v>
      </c>
      <c r="J43" s="13" t="s">
        <v>52</v>
      </c>
      <c r="K43" s="13" t="s">
        <v>52</v>
      </c>
    </row>
    <row r="44" ht="20" customHeight="1" spans="2:11">
      <c r="B44" s="15">
        <v>40</v>
      </c>
      <c r="C44" s="16" t="s">
        <v>52</v>
      </c>
      <c r="D44" s="16" t="s">
        <v>52</v>
      </c>
      <c r="E44" s="16" t="s">
        <v>52</v>
      </c>
      <c r="F44" s="16" t="s">
        <v>52</v>
      </c>
      <c r="G44" s="16" t="s">
        <v>52</v>
      </c>
      <c r="H44" s="16" t="s">
        <v>52</v>
      </c>
      <c r="I44" s="14" t="s">
        <v>52</v>
      </c>
      <c r="J44" s="14" t="s">
        <v>52</v>
      </c>
      <c r="K44" s="14" t="s">
        <v>52</v>
      </c>
    </row>
    <row r="45" ht="20" customHeight="1" spans="2:11">
      <c r="B45" s="15">
        <v>41</v>
      </c>
      <c r="C45" s="16" t="s">
        <v>52</v>
      </c>
      <c r="D45" s="16" t="s">
        <v>52</v>
      </c>
      <c r="E45" s="16" t="s">
        <v>52</v>
      </c>
      <c r="F45" s="16" t="s">
        <v>52</v>
      </c>
      <c r="G45" s="16" t="s">
        <v>52</v>
      </c>
      <c r="H45" s="16" t="s">
        <v>52</v>
      </c>
      <c r="I45" s="13" t="s">
        <v>52</v>
      </c>
      <c r="J45" s="13" t="s">
        <v>52</v>
      </c>
      <c r="K45" s="13" t="s">
        <v>52</v>
      </c>
    </row>
    <row r="46" ht="20" customHeight="1" spans="2:11">
      <c r="B46" s="15">
        <v>42</v>
      </c>
      <c r="C46" s="16" t="s">
        <v>52</v>
      </c>
      <c r="D46" s="16" t="s">
        <v>52</v>
      </c>
      <c r="E46" s="16" t="s">
        <v>52</v>
      </c>
      <c r="F46" s="16" t="s">
        <v>52</v>
      </c>
      <c r="G46" s="16" t="s">
        <v>52</v>
      </c>
      <c r="H46" s="16" t="s">
        <v>52</v>
      </c>
      <c r="I46" s="14" t="s">
        <v>52</v>
      </c>
      <c r="J46" s="14" t="s">
        <v>52</v>
      </c>
      <c r="K46" s="14" t="s">
        <v>52</v>
      </c>
    </row>
    <row r="47" ht="20" customHeight="1" spans="2:11">
      <c r="B47" s="15">
        <v>43</v>
      </c>
      <c r="C47" s="16" t="s">
        <v>52</v>
      </c>
      <c r="D47" s="16" t="s">
        <v>52</v>
      </c>
      <c r="E47" s="16" t="s">
        <v>52</v>
      </c>
      <c r="F47" s="16" t="s">
        <v>52</v>
      </c>
      <c r="G47" s="16" t="s">
        <v>52</v>
      </c>
      <c r="H47" s="16" t="s">
        <v>52</v>
      </c>
      <c r="I47" s="13" t="s">
        <v>52</v>
      </c>
      <c r="J47" s="13" t="s">
        <v>52</v>
      </c>
      <c r="K47" s="13" t="s">
        <v>52</v>
      </c>
    </row>
    <row r="48" ht="20" customHeight="1" spans="2:11">
      <c r="B48" s="15">
        <v>44</v>
      </c>
      <c r="C48" s="16" t="s">
        <v>52</v>
      </c>
      <c r="D48" s="16" t="s">
        <v>52</v>
      </c>
      <c r="E48" s="16" t="s">
        <v>52</v>
      </c>
      <c r="F48" s="16" t="s">
        <v>52</v>
      </c>
      <c r="G48" s="16" t="s">
        <v>52</v>
      </c>
      <c r="H48" s="16" t="s">
        <v>52</v>
      </c>
      <c r="I48" s="14" t="s">
        <v>52</v>
      </c>
      <c r="J48" s="14" t="s">
        <v>52</v>
      </c>
      <c r="K48" s="14" t="s">
        <v>52</v>
      </c>
    </row>
    <row r="49" ht="20" customHeight="1" spans="2:11">
      <c r="B49" s="15">
        <v>45</v>
      </c>
      <c r="C49" s="16" t="s">
        <v>52</v>
      </c>
      <c r="D49" s="16" t="s">
        <v>52</v>
      </c>
      <c r="E49" s="16" t="s">
        <v>52</v>
      </c>
      <c r="F49" s="16" t="s">
        <v>52</v>
      </c>
      <c r="G49" s="16" t="s">
        <v>52</v>
      </c>
      <c r="H49" s="16" t="s">
        <v>52</v>
      </c>
      <c r="I49" s="13" t="s">
        <v>52</v>
      </c>
      <c r="J49" s="13" t="s">
        <v>52</v>
      </c>
      <c r="K49" s="13" t="s">
        <v>52</v>
      </c>
    </row>
    <row r="50" ht="20" customHeight="1" spans="2:11">
      <c r="B50" s="15">
        <v>46</v>
      </c>
      <c r="C50" s="16" t="s">
        <v>52</v>
      </c>
      <c r="D50" s="16" t="s">
        <v>52</v>
      </c>
      <c r="E50" s="16" t="s">
        <v>52</v>
      </c>
      <c r="F50" s="16" t="s">
        <v>52</v>
      </c>
      <c r="G50" s="16" t="s">
        <v>52</v>
      </c>
      <c r="H50" s="16" t="s">
        <v>52</v>
      </c>
      <c r="I50" s="14" t="s">
        <v>52</v>
      </c>
      <c r="J50" s="14" t="s">
        <v>52</v>
      </c>
      <c r="K50" s="14" t="s">
        <v>52</v>
      </c>
    </row>
    <row r="51" ht="20" customHeight="1" spans="2:11">
      <c r="B51" s="15">
        <v>47</v>
      </c>
      <c r="C51" s="16" t="s">
        <v>52</v>
      </c>
      <c r="D51" s="16" t="s">
        <v>52</v>
      </c>
      <c r="E51" s="16" t="s">
        <v>52</v>
      </c>
      <c r="F51" s="16" t="s">
        <v>52</v>
      </c>
      <c r="G51" s="16" t="s">
        <v>52</v>
      </c>
      <c r="H51" s="16" t="s">
        <v>52</v>
      </c>
      <c r="I51" s="13" t="s">
        <v>52</v>
      </c>
      <c r="J51" s="13" t="s">
        <v>52</v>
      </c>
      <c r="K51" s="13" t="s">
        <v>52</v>
      </c>
    </row>
    <row r="52" ht="20" customHeight="1" spans="2:11">
      <c r="B52" s="15">
        <v>48</v>
      </c>
      <c r="C52" s="16" t="s">
        <v>52</v>
      </c>
      <c r="D52" s="16" t="s">
        <v>52</v>
      </c>
      <c r="E52" s="16" t="s">
        <v>52</v>
      </c>
      <c r="F52" s="16" t="s">
        <v>52</v>
      </c>
      <c r="G52" s="16" t="s">
        <v>52</v>
      </c>
      <c r="H52" s="16" t="s">
        <v>52</v>
      </c>
      <c r="I52" s="14" t="s">
        <v>52</v>
      </c>
      <c r="J52" s="14" t="s">
        <v>52</v>
      </c>
      <c r="K52" s="14" t="s">
        <v>52</v>
      </c>
    </row>
    <row r="53" ht="20" customHeight="1" spans="2:11">
      <c r="B53" s="15">
        <v>49</v>
      </c>
      <c r="C53" s="16" t="s">
        <v>52</v>
      </c>
      <c r="D53" s="16" t="s">
        <v>52</v>
      </c>
      <c r="E53" s="16" t="s">
        <v>52</v>
      </c>
      <c r="F53" s="16" t="s">
        <v>52</v>
      </c>
      <c r="G53" s="16" t="s">
        <v>52</v>
      </c>
      <c r="H53" s="16" t="s">
        <v>52</v>
      </c>
      <c r="I53" s="13" t="s">
        <v>52</v>
      </c>
      <c r="J53" s="13" t="s">
        <v>52</v>
      </c>
      <c r="K53" s="13" t="s">
        <v>52</v>
      </c>
    </row>
    <row r="54" ht="20" customHeight="1" spans="2:11">
      <c r="B54" s="15">
        <v>50</v>
      </c>
      <c r="C54" s="16" t="s">
        <v>52</v>
      </c>
      <c r="D54" s="16" t="s">
        <v>52</v>
      </c>
      <c r="E54" s="16" t="s">
        <v>52</v>
      </c>
      <c r="F54" s="16" t="s">
        <v>52</v>
      </c>
      <c r="G54" s="16" t="s">
        <v>52</v>
      </c>
      <c r="H54" s="16" t="s">
        <v>52</v>
      </c>
      <c r="I54" s="14" t="s">
        <v>52</v>
      </c>
      <c r="J54" s="14" t="s">
        <v>52</v>
      </c>
      <c r="K54" s="14" t="s">
        <v>52</v>
      </c>
    </row>
    <row r="55" ht="20" customHeight="1" spans="2:11">
      <c r="B55" s="15">
        <v>51</v>
      </c>
      <c r="C55" s="16" t="s">
        <v>52</v>
      </c>
      <c r="D55" s="16" t="s">
        <v>52</v>
      </c>
      <c r="E55" s="16" t="s">
        <v>52</v>
      </c>
      <c r="F55" s="16" t="s">
        <v>52</v>
      </c>
      <c r="G55" s="16" t="s">
        <v>52</v>
      </c>
      <c r="H55" s="16" t="s">
        <v>52</v>
      </c>
      <c r="I55" s="13" t="s">
        <v>52</v>
      </c>
      <c r="J55" s="13" t="s">
        <v>52</v>
      </c>
      <c r="K55" s="13" t="s">
        <v>52</v>
      </c>
    </row>
    <row r="56" ht="20" customHeight="1" spans="2:11">
      <c r="B56" s="15">
        <v>52</v>
      </c>
      <c r="C56" s="16" t="s">
        <v>52</v>
      </c>
      <c r="D56" s="16" t="s">
        <v>52</v>
      </c>
      <c r="E56" s="16" t="s">
        <v>52</v>
      </c>
      <c r="F56" s="16" t="s">
        <v>52</v>
      </c>
      <c r="G56" s="16" t="s">
        <v>52</v>
      </c>
      <c r="H56" s="16" t="s">
        <v>52</v>
      </c>
      <c r="I56" s="14" t="s">
        <v>52</v>
      </c>
      <c r="J56" s="14" t="s">
        <v>52</v>
      </c>
      <c r="K56" s="14" t="s">
        <v>52</v>
      </c>
    </row>
    <row r="57" ht="20" customHeight="1" spans="2:11">
      <c r="B57" s="15">
        <v>53</v>
      </c>
      <c r="C57" s="16" t="s">
        <v>52</v>
      </c>
      <c r="D57" s="16" t="s">
        <v>52</v>
      </c>
      <c r="E57" s="16" t="s">
        <v>52</v>
      </c>
      <c r="F57" s="16" t="s">
        <v>52</v>
      </c>
      <c r="G57" s="16" t="s">
        <v>52</v>
      </c>
      <c r="H57" s="16" t="s">
        <v>52</v>
      </c>
      <c r="I57" s="13" t="s">
        <v>52</v>
      </c>
      <c r="J57" s="13" t="s">
        <v>52</v>
      </c>
      <c r="K57" s="13" t="s">
        <v>52</v>
      </c>
    </row>
  </sheetData>
  <mergeCells count="3">
    <mergeCell ref="B1:J1"/>
    <mergeCell ref="B2:J2"/>
    <mergeCell ref="B3:J3"/>
  </mergeCells>
  <dataValidations count="2">
    <dataValidation type="list" allowBlank="1" sqref="I5:I57">
      <formula1>"按时完成,延迟完成,未完成,本次无作业"</formula1>
    </dataValidation>
    <dataValidation type="list" allowBlank="1" sqref="J5:J57">
      <formula1>"积极,中立,待跟进,无沟通"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7"/>
  <sheetViews>
    <sheetView showGridLines="0" workbookViewId="0">
      <selection activeCell="A1" sqref="A1"/>
    </sheetView>
  </sheetViews>
  <sheetFormatPr defaultColWidth="9" defaultRowHeight="16.8" outlineLevelCol="7"/>
  <cols>
    <col min="1" max="1" width="4" customWidth="1"/>
    <col min="2" max="2" width="24" customWidth="1"/>
    <col min="3" max="3" width="16" customWidth="1"/>
    <col min="4" max="6" width="14" customWidth="1"/>
    <col min="7" max="7" width="16" customWidth="1"/>
    <col min="8" max="8" width="20" customWidth="1"/>
  </cols>
  <sheetData>
    <row r="1" ht="36" customHeight="1" spans="2:8">
      <c r="B1" s="1" t="s">
        <v>103</v>
      </c>
    </row>
    <row r="2" ht="20" customHeight="1" spans="2:8">
      <c r="B2" s="2" t="s">
        <v>104</v>
      </c>
    </row>
    <row r="4" ht="22" customHeight="1" spans="2:8">
      <c r="B4" s="3" t="s">
        <v>105</v>
      </c>
      <c r="C4" s="4"/>
      <c r="D4" s="4"/>
      <c r="E4" s="4"/>
      <c r="F4" s="4"/>
      <c r="G4" s="4"/>
      <c r="H4" s="5"/>
    </row>
    <row r="5" ht="20" customHeight="1" spans="2:8">
      <c r="B5" s="6" t="s">
        <v>106</v>
      </c>
      <c r="C5" s="7">
        <f>COUNTIF(①学员信息!C5:C100,"新增")</f>
        <v>2</v>
      </c>
    </row>
    <row r="6" ht="20" customHeight="1" spans="2:8">
      <c r="B6" s="6" t="s">
        <v>107</v>
      </c>
      <c r="C6" s="7">
        <f>COUNTIF(①学员信息!C5:C100,"更新")</f>
        <v>1</v>
      </c>
    </row>
    <row r="7" ht="20" customHeight="1" spans="2:8">
      <c r="B7" s="6" t="s">
        <v>108</v>
      </c>
      <c r="C7" s="7">
        <f>COUNTA(①学员信息!D5:D100)</f>
        <v>33</v>
      </c>
    </row>
    <row r="9" ht="22" customHeight="1" spans="2:8">
      <c r="B9" s="3" t="s">
        <v>109</v>
      </c>
      <c r="C9" s="4"/>
      <c r="D9" s="4"/>
      <c r="E9" s="4"/>
      <c r="F9" s="4"/>
      <c r="G9" s="4"/>
      <c r="H9" s="5"/>
    </row>
    <row r="10" ht="20" customHeight="1" spans="2:8">
      <c r="B10" s="6" t="s">
        <v>110</v>
      </c>
      <c r="C10" s="7">
        <f>COUNTA(②月度测试记录!D5:D100)</f>
        <v>53</v>
      </c>
    </row>
    <row r="11" ht="20" customHeight="1" spans="2:8">
      <c r="B11" s="6" t="s">
        <v>111</v>
      </c>
      <c r="C11" s="7">
        <f>SUM(②月度测试记录!I5:I100)</f>
        <v>121</v>
      </c>
    </row>
    <row r="12" ht="20" customHeight="1" spans="2:8">
      <c r="B12" s="6" t="s">
        <v>112</v>
      </c>
      <c r="C12" s="7">
        <f>SUM(②月度测试记录!H5:H100)</f>
        <v>150</v>
      </c>
    </row>
    <row r="13" ht="20" customHeight="1" spans="2:8">
      <c r="B13" s="6" t="s">
        <v>113</v>
      </c>
      <c r="C13" s="8">
        <f>IFERROR(SUM(②月度测试记录!I5:I100)/SUM(②月度测试记录!H5:H100),"—")</f>
        <v>0.806666666666667</v>
      </c>
    </row>
    <row r="14" ht="20" customHeight="1" spans="2:8">
      <c r="B14" s="6" t="s">
        <v>114</v>
      </c>
      <c r="C14" s="7" t="str">
        <f>IFERROR(INDEX(②月度测试记录!D5:D100,MATCH(MAX(②月度测试记录!J5:J100),②月度测试记录!J5:J100,0)),"—")</f>
        <v>—</v>
      </c>
    </row>
    <row r="15" ht="20" customHeight="1" spans="2:8">
      <c r="B15" s="6" t="s">
        <v>115</v>
      </c>
      <c r="C15" s="7" t="str">
        <f>IFERROR(INDEX(②月度测试记录!D5:D100,MATCH(MIN(②月度测试记录!J5:J100),②月度测试记录!J5:J100,0)),"—")</f>
        <v>—</v>
      </c>
    </row>
    <row r="17" ht="22" customHeight="1" spans="2:8">
      <c r="B17" s="3" t="s">
        <v>116</v>
      </c>
      <c r="C17" s="4"/>
      <c r="D17" s="4"/>
      <c r="E17" s="4"/>
      <c r="F17" s="4"/>
      <c r="G17" s="4"/>
      <c r="H17" s="5"/>
    </row>
    <row r="18" ht="20" customHeight="1" spans="2:8">
      <c r="B18" s="6" t="s">
        <v>117</v>
      </c>
      <c r="C18" s="7">
        <f>COUNTA(③月度上课记录!D5:D100)</f>
        <v>53</v>
      </c>
    </row>
    <row r="19" ht="20" customHeight="1" spans="2:8">
      <c r="B19" s="6" t="s">
        <v>118</v>
      </c>
      <c r="C19" s="7">
        <f>SUM(③月度上课记录!F5:F100)</f>
        <v>270</v>
      </c>
    </row>
    <row r="20" ht="20" customHeight="1" spans="2:8">
      <c r="B20" s="6" t="s">
        <v>119</v>
      </c>
      <c r="C20" s="7">
        <f>COUNTIF(③月度上课记录!I5:I100,"按时完成")</f>
        <v>0</v>
      </c>
    </row>
    <row r="21" ht="20" customHeight="1" spans="2:8">
      <c r="B21" s="6" t="s">
        <v>120</v>
      </c>
      <c r="C21" s="7">
        <f>COUNTIF(③月度上课记录!I5:I100,"延迟完成")+COUNTIF(③月度上课记录!I5:I100,"未完成")</f>
        <v>0</v>
      </c>
    </row>
    <row r="22" ht="20" customHeight="1" spans="2:8">
      <c r="B22" s="6" t="s">
        <v>121</v>
      </c>
      <c r="C22" s="7">
        <f>COUNTIF(③月度上课记录!J5:J100,"待跟进")</f>
        <v>0</v>
      </c>
    </row>
    <row r="24" ht="22" customHeight="1" spans="2:8">
      <c r="B24" s="3" t="s">
        <v>122</v>
      </c>
      <c r="C24" s="4"/>
      <c r="D24" s="4"/>
      <c r="E24" s="4"/>
      <c r="F24" s="4"/>
      <c r="G24" s="4"/>
      <c r="H24" s="5"/>
    </row>
    <row r="25" ht="22" customHeight="1" spans="2:8">
      <c r="B25" s="9" t="s">
        <v>64</v>
      </c>
      <c r="C25" s="9" t="s">
        <v>123</v>
      </c>
      <c r="D25" s="9" t="s">
        <v>124</v>
      </c>
    </row>
    <row r="26" ht="20" customHeight="1" spans="2:8">
      <c r="B26" s="6" t="s">
        <v>125</v>
      </c>
      <c r="C26" s="7">
        <f>COUNTIF(②月度测试记录!F5:F100,B26)</f>
        <v>0</v>
      </c>
      <c r="D26" s="8" t="str">
        <f>IFERROR(AVERAGEIF(②月度测试记录!F5:F100,B26,②月度测试记录!J5:J100),"—")</f>
        <v>—</v>
      </c>
    </row>
    <row r="27" ht="20" customHeight="1" spans="2:8">
      <c r="B27" s="10" t="s">
        <v>126</v>
      </c>
      <c r="C27" s="7">
        <f>COUNTIF(②月度测试记录!F5:F100,B27)</f>
        <v>0</v>
      </c>
      <c r="D27" s="8" t="str">
        <f>IFERROR(AVERAGEIF(②月度测试记录!F5:F100,B27,②月度测试记录!J5:J100),"—")</f>
        <v>—</v>
      </c>
    </row>
    <row r="28" ht="20" customHeight="1" spans="2:8">
      <c r="B28" s="6" t="s">
        <v>127</v>
      </c>
      <c r="C28" s="7">
        <f>COUNTIF(②月度测试记录!F5:F100,B28)</f>
        <v>0</v>
      </c>
      <c r="D28" s="8" t="str">
        <f>IFERROR(AVERAGEIF(②月度测试记录!F5:F100,B28,②月度测试记录!J5:J100),"—")</f>
        <v>—</v>
      </c>
    </row>
    <row r="29" ht="20" customHeight="1" spans="2:8">
      <c r="B29" s="10" t="s">
        <v>128</v>
      </c>
      <c r="C29" s="7">
        <f>COUNTIF(②月度测试记录!F5:F100,B29)</f>
        <v>0</v>
      </c>
      <c r="D29" s="8" t="str">
        <f>IFERROR(AVERAGEIF(②月度测试记录!F5:F100,B29,②月度测试记录!J5:J100),"—")</f>
        <v>—</v>
      </c>
    </row>
    <row r="30" ht="20" customHeight="1" spans="2:8">
      <c r="B30" s="6" t="s">
        <v>129</v>
      </c>
      <c r="C30" s="7">
        <f>COUNTIF(②月度测试记录!F5:F100,B30)</f>
        <v>0</v>
      </c>
      <c r="D30" s="8" t="str">
        <f>IFERROR(AVERAGEIF(②月度测试记录!F5:F100,B30,②月度测试记录!J5:J100),"—")</f>
        <v>—</v>
      </c>
    </row>
    <row r="31" ht="20" customHeight="1" spans="2:8">
      <c r="B31" s="10" t="s">
        <v>130</v>
      </c>
      <c r="C31" s="7">
        <f>COUNTIF(②月度测试记录!F5:F100,B31)</f>
        <v>0</v>
      </c>
      <c r="D31" s="8" t="str">
        <f>IFERROR(AVERAGEIF(②月度测试记录!F5:F100,B31,②月度测试记录!J5:J100),"—")</f>
        <v>—</v>
      </c>
    </row>
    <row r="32" ht="20" customHeight="1" spans="2:8">
      <c r="B32" s="6" t="s">
        <v>80</v>
      </c>
      <c r="C32" s="7">
        <f>COUNTIF(②月度测试记录!F5:F100,B32)</f>
        <v>1</v>
      </c>
      <c r="D32" s="8">
        <f>IFERROR(AVERAGEIF(②月度测试记录!F5:F100,B32,②月度测试记录!J5:J100),"—")</f>
        <v>0.916666666666667</v>
      </c>
    </row>
    <row r="33" ht="20" customHeight="1" spans="2:4">
      <c r="B33" s="10" t="s">
        <v>131</v>
      </c>
      <c r="C33" s="7">
        <f>COUNTIF(②月度测试记录!F5:F100,B33)</f>
        <v>0</v>
      </c>
      <c r="D33" s="8" t="str">
        <f>IFERROR(AVERAGEIF(②月度测试记录!F5:F100,B33,②月度测试记录!J5:J100),"—")</f>
        <v>—</v>
      </c>
    </row>
    <row r="34" ht="20" customHeight="1" spans="2:4">
      <c r="B34" s="6" t="s">
        <v>132</v>
      </c>
      <c r="C34" s="7">
        <f>COUNTIF(②月度测试记录!F5:F100,B34)</f>
        <v>0</v>
      </c>
      <c r="D34" s="8" t="str">
        <f>IFERROR(AVERAGEIF(②月度测试记录!F5:F100,B34,②月度测试记录!J5:J100),"—")</f>
        <v>—</v>
      </c>
    </row>
    <row r="35" ht="20" customHeight="1" spans="2:4">
      <c r="B35" s="10" t="s">
        <v>133</v>
      </c>
      <c r="C35" s="7">
        <f>COUNTIF(②月度测试记录!F5:F100,B35)</f>
        <v>0</v>
      </c>
      <c r="D35" s="8" t="str">
        <f>IFERROR(AVERAGEIF(②月度测试记录!F5:F100,B35,②月度测试记录!J5:J100),"—")</f>
        <v>—</v>
      </c>
    </row>
    <row r="37" spans="2:4">
      <c r="B37" s="11" t="s">
        <v>134</v>
      </c>
    </row>
  </sheetData>
  <mergeCells count="21">
    <mergeCell ref="B1:H1"/>
    <mergeCell ref="B2:H2"/>
    <mergeCell ref="B4:H4"/>
    <mergeCell ref="D5:H5"/>
    <mergeCell ref="D6:H6"/>
    <mergeCell ref="D7:H7"/>
    <mergeCell ref="B9:H9"/>
    <mergeCell ref="D10:H10"/>
    <mergeCell ref="D11:H11"/>
    <mergeCell ref="D12:H12"/>
    <mergeCell ref="D13:H13"/>
    <mergeCell ref="D14:H14"/>
    <mergeCell ref="D15:H15"/>
    <mergeCell ref="B17:H17"/>
    <mergeCell ref="D18:H18"/>
    <mergeCell ref="D19:H19"/>
    <mergeCell ref="D20:H20"/>
    <mergeCell ref="D21:H21"/>
    <mergeCell ref="D22:H22"/>
    <mergeCell ref="B24:H24"/>
    <mergeCell ref="B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①学员信息</vt:lpstr>
      <vt:lpstr>②月度测试记录</vt:lpstr>
      <vt:lpstr>③月度上课记录</vt:lpstr>
      <vt:lpstr>④月度汇总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Power</cp:lastModifiedBy>
  <dcterms:created xsi:type="dcterms:W3CDTF">2026-05-09T18:36:00Z</dcterms:created>
  <dcterms:modified xsi:type="dcterms:W3CDTF">2026-05-09T21:09:07Z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37DA4E5219AABECCF331FF69A057B98E_42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